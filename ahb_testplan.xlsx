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AHB\"/>
    </mc:Choice>
  </mc:AlternateContent>
  <xr:revisionPtr revIDLastSave="0" documentId="13_ncr:1_{D01C25FC-7F4B-4D8A-A3E6-0A75BDB84B06}" xr6:coauthVersionLast="47" xr6:coauthVersionMax="47" xr10:uidLastSave="{00000000-0000-0000-0000-000000000000}"/>
  <bookViews>
    <workbookView xWindow="0" yWindow="360" windowWidth="23232" windowHeight="12432" xr2:uid="{9A1B5FDD-DB36-427F-99CD-74302C8CEB0B}"/>
  </bookViews>
  <sheets>
    <sheet name="AHB_TestPlan_Doc" sheetId="3" r:id="rId1"/>
    <sheet name="AHB_VPlan" sheetId="1" r:id="rId2"/>
    <sheet name="AHB_Checkli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3" i="1" l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18" i="1"/>
  <c r="P17" i="1"/>
  <c r="P16" i="1"/>
  <c r="P13" i="1"/>
  <c r="P12" i="1"/>
  <c r="P11" i="1"/>
  <c r="P10" i="1"/>
  <c r="P9" i="1"/>
  <c r="P6" i="1"/>
  <c r="P5" i="1"/>
  <c r="P4" i="1"/>
  <c r="M3" i="1"/>
  <c r="Q5" i="1" l="1"/>
  <c r="Q23" i="1"/>
  <c r="Q24" i="1"/>
  <c r="Q29" i="1"/>
  <c r="Q31" i="1"/>
  <c r="Q25" i="1"/>
  <c r="Q26" i="1"/>
  <c r="Q28" i="1"/>
  <c r="Q32" i="1"/>
  <c r="Q30" i="1"/>
  <c r="Q33" i="1"/>
  <c r="Q34" i="1"/>
  <c r="Q38" i="1"/>
  <c r="Q18" i="1"/>
  <c r="Q17" i="1"/>
  <c r="Q35" i="1"/>
  <c r="Q36" i="1"/>
  <c r="Q37" i="1"/>
  <c r="Q39" i="1"/>
  <c r="Q11" i="1"/>
  <c r="Q27" i="1"/>
  <c r="Q16" i="1"/>
  <c r="Q10" i="1"/>
  <c r="Q12" i="1"/>
  <c r="Q9" i="1"/>
  <c r="Q6" i="1"/>
  <c r="Q4" i="1"/>
  <c r="Q13" i="1"/>
  <c r="P19" i="1"/>
  <c r="Q19" i="1" s="1"/>
</calcChain>
</file>

<file path=xl/sharedStrings.xml><?xml version="1.0" encoding="utf-8"?>
<sst xmlns="http://schemas.openxmlformats.org/spreadsheetml/2006/main" count="1738" uniqueCount="1011">
  <si>
    <t>Test ID</t>
  </si>
  <si>
    <t>Category</t>
  </si>
  <si>
    <t>Sub-Category</t>
  </si>
  <si>
    <t>Test Case Name</t>
  </si>
  <si>
    <t>Description</t>
  </si>
  <si>
    <t>Priority</t>
  </si>
  <si>
    <t>Coverage Goal</t>
  </si>
  <si>
    <t>Status</t>
  </si>
  <si>
    <t>Pass/Fail</t>
  </si>
  <si>
    <t>Comments</t>
  </si>
  <si>
    <t>AHB_001</t>
  </si>
  <si>
    <t>Basic Transfer</t>
  </si>
  <si>
    <t>Single Transfer</t>
  </si>
  <si>
    <t>single_read_word</t>
  </si>
  <si>
    <t>Single read transfer với HSIZE=WORD (32-bit)</t>
  </si>
  <si>
    <t>P1</t>
  </si>
  <si>
    <t>Not Started</t>
  </si>
  <si>
    <t>AHB_002</t>
  </si>
  <si>
    <t>single_write_word</t>
  </si>
  <si>
    <t>Single write transfer với HSIZE=WORD (32-bit)</t>
  </si>
  <si>
    <t>AHB_003</t>
  </si>
  <si>
    <t>single_read_halfword</t>
  </si>
  <si>
    <t>Single read transfer với HSIZE=HALFWORD (16-bit)</t>
  </si>
  <si>
    <t>AHB_004</t>
  </si>
  <si>
    <t>single_write_halfword</t>
  </si>
  <si>
    <t>Single write transfer với HSIZE=HALFWORD (16-bit)</t>
  </si>
  <si>
    <t>AHB_005</t>
  </si>
  <si>
    <t>single_read_byte</t>
  </si>
  <si>
    <t>Single read transfer với HSIZE=BYTE (8-bit)</t>
  </si>
  <si>
    <t>AHB_006</t>
  </si>
  <si>
    <t>single_write_byte</t>
  </si>
  <si>
    <t>Single write transfer với HSIZE=BYTE (8-bit)</t>
  </si>
  <si>
    <t>AHB_007</t>
  </si>
  <si>
    <t>Burst Transfer</t>
  </si>
  <si>
    <t>INCR Burst</t>
  </si>
  <si>
    <t>incr_burst_read_4</t>
  </si>
  <si>
    <t>INCR4 burst read (4-beat incrementing)</t>
  </si>
  <si>
    <t>AHB_008</t>
  </si>
  <si>
    <t>incr_burst_write_4</t>
  </si>
  <si>
    <t>INCR4 burst write (4-beat incrementing)</t>
  </si>
  <si>
    <t>AHB_009</t>
  </si>
  <si>
    <t>incr_burst_read_8</t>
  </si>
  <si>
    <t>INCR8 burst read (8-beat incrementing)</t>
  </si>
  <si>
    <t>AHB_010</t>
  </si>
  <si>
    <t>incr_burst_write_8</t>
  </si>
  <si>
    <t>INCR8 burst write (8-beat incrementing)</t>
  </si>
  <si>
    <t>AHB_011</t>
  </si>
  <si>
    <t>incr_burst_read_16</t>
  </si>
  <si>
    <t>INCR16 burst read (16-beat incrementing)</t>
  </si>
  <si>
    <t>AHB_012</t>
  </si>
  <si>
    <t>incr_burst_write_16</t>
  </si>
  <si>
    <t>INCR16 burst write (16-beat incrementing)</t>
  </si>
  <si>
    <t>AHB_013</t>
  </si>
  <si>
    <t>incr_undefined_burst</t>
  </si>
  <si>
    <t>INCR undefined length burst transfer</t>
  </si>
  <si>
    <t>AHB_014</t>
  </si>
  <si>
    <t>WRAP Burst</t>
  </si>
  <si>
    <t>wrap_burst_read_4</t>
  </si>
  <si>
    <t>WRAP4 burst read (4-beat wrapping)</t>
  </si>
  <si>
    <t>AHB_015</t>
  </si>
  <si>
    <t>wrap_burst_write_4</t>
  </si>
  <si>
    <t>WRAP4 burst write (4-beat wrapping)</t>
  </si>
  <si>
    <t>AHB_016</t>
  </si>
  <si>
    <t>wrap_burst_read_8</t>
  </si>
  <si>
    <t>WRAP8 burst read (8-beat wrapping)</t>
  </si>
  <si>
    <t>AHB_017</t>
  </si>
  <si>
    <t>wrap_burst_write_8</t>
  </si>
  <si>
    <t>WRAP8 burst write (8-beat wrapping)</t>
  </si>
  <si>
    <t>AHB_018</t>
  </si>
  <si>
    <t>wrap_burst_read_16</t>
  </si>
  <si>
    <t>WRAP16 burst read (16-beat wrapping)</t>
  </si>
  <si>
    <t>AHB_019</t>
  </si>
  <si>
    <t>wrap_burst_write_16</t>
  </si>
  <si>
    <t>WRAP16 burst write (16-beat wrapping)</t>
  </si>
  <si>
    <t>AHB_020</t>
  </si>
  <si>
    <t>Transfer Type</t>
  </si>
  <si>
    <t>HTRANS</t>
  </si>
  <si>
    <t>idle_transfer</t>
  </si>
  <si>
    <t>HTRANS=IDLE transfer verification</t>
  </si>
  <si>
    <t>AHB_021</t>
  </si>
  <si>
    <t>busy_transfer</t>
  </si>
  <si>
    <t>HTRANS=BUSY transfer trong burst</t>
  </si>
  <si>
    <t>AHB_022</t>
  </si>
  <si>
    <t>nonseq_transfer</t>
  </si>
  <si>
    <t>HTRANS=NONSEQ transfer verification</t>
  </si>
  <si>
    <t>AHB_023</t>
  </si>
  <si>
    <t>seq_transfer</t>
  </si>
  <si>
    <t>HTRANS=SEQ transfer trong burst</t>
  </si>
  <si>
    <t>AHB_024</t>
  </si>
  <si>
    <t>htrans_transitions</t>
  </si>
  <si>
    <t>Verify all valid HTRANS transitions</t>
  </si>
  <si>
    <t>AHB_025</t>
  </si>
  <si>
    <t>Wait States</t>
  </si>
  <si>
    <t>HREADY</t>
  </si>
  <si>
    <t>zero_wait_state</t>
  </si>
  <si>
    <t>Transfer không có wait state (HREADY=1)</t>
  </si>
  <si>
    <t>AHB_026</t>
  </si>
  <si>
    <t>single_wait_state</t>
  </si>
  <si>
    <t>Transfer với 1 wait state</t>
  </si>
  <si>
    <t>AHB_027</t>
  </si>
  <si>
    <t>multiple_wait_states</t>
  </si>
  <si>
    <t>Transfer với nhiều wait states (2-16)</t>
  </si>
  <si>
    <t>AHB_028</t>
  </si>
  <si>
    <t>random_wait_states</t>
  </si>
  <si>
    <t>Transfer với random wait states</t>
  </si>
  <si>
    <t>P2</t>
  </si>
  <si>
    <t>AHB_029</t>
  </si>
  <si>
    <t>max_wait_states</t>
  </si>
  <si>
    <t>Transfer với maximum wait states</t>
  </si>
  <si>
    <t>AHB_030</t>
  </si>
  <si>
    <t>burst_with_wait</t>
  </si>
  <si>
    <t>Burst transfer với wait states xen kẽ</t>
  </si>
  <si>
    <t>AHB_031</t>
  </si>
  <si>
    <t>Response</t>
  </si>
  <si>
    <t>HRESP</t>
  </si>
  <si>
    <t>okay_response</t>
  </si>
  <si>
    <t>HRESP=OKAY cho successful transfer</t>
  </si>
  <si>
    <t>AHB_032</t>
  </si>
  <si>
    <t>error_response</t>
  </si>
  <si>
    <t>HRESP=ERROR response handling</t>
  </si>
  <si>
    <t>AHB_033</t>
  </si>
  <si>
    <t>error_during_burst</t>
  </si>
  <si>
    <t>Error response trong burst transfer</t>
  </si>
  <si>
    <t>AHB_034</t>
  </si>
  <si>
    <t>retry_response</t>
  </si>
  <si>
    <t>HRESP=RETRY response (AHB Full)</t>
  </si>
  <si>
    <t>AHB_035</t>
  </si>
  <si>
    <t>split_response</t>
  </si>
  <si>
    <t>HRESP=SPLIT response (AHB Full)</t>
  </si>
  <si>
    <t>AHB_036</t>
  </si>
  <si>
    <t>two_cycle_error</t>
  </si>
  <si>
    <t>Two-cycle error response protocol</t>
  </si>
  <si>
    <t>AHB_037</t>
  </si>
  <si>
    <t>Address</t>
  </si>
  <si>
    <t>Alignment</t>
  </si>
  <si>
    <t>word_aligned_addr</t>
  </si>
  <si>
    <t>Word-aligned address transfer</t>
  </si>
  <si>
    <t>AHB_038</t>
  </si>
  <si>
    <t>halfword_aligned_addr</t>
  </si>
  <si>
    <t>Halfword-aligned address transfer</t>
  </si>
  <si>
    <t>AHB_039</t>
  </si>
  <si>
    <t>unaligned_addr_byte</t>
  </si>
  <si>
    <t>Unaligned address với byte transfer</t>
  </si>
  <si>
    <t>AHB_040</t>
  </si>
  <si>
    <t>Boundary</t>
  </si>
  <si>
    <t>1kb_boundary_check</t>
  </si>
  <si>
    <t>1KB address boundary không cross</t>
  </si>
  <si>
    <t>AHB_041</t>
  </si>
  <si>
    <t>wrap_boundary</t>
  </si>
  <si>
    <t>Wrap boundary address calculation</t>
  </si>
  <si>
    <t>AHB_042</t>
  </si>
  <si>
    <t>Range</t>
  </si>
  <si>
    <t>min_address</t>
  </si>
  <si>
    <t>Minimum address (0x00000000)</t>
  </si>
  <si>
    <t>AHB_043</t>
  </si>
  <si>
    <t>max_address</t>
  </si>
  <si>
    <t>Maximum address (0xFFFFFFFF)</t>
  </si>
  <si>
    <t>AHB_044</t>
  </si>
  <si>
    <t>Data Integrity</t>
  </si>
  <si>
    <t>Pattern</t>
  </si>
  <si>
    <t>all_zeros_data</t>
  </si>
  <si>
    <t>Data pattern: all zeros (0x00000000)</t>
  </si>
  <si>
    <t>AHB_045</t>
  </si>
  <si>
    <t>all_ones_data</t>
  </si>
  <si>
    <t>Data pattern: all ones (0xFFFFFFFF)</t>
  </si>
  <si>
    <t>AHB_046</t>
  </si>
  <si>
    <t>walking_ones</t>
  </si>
  <si>
    <t>Data pattern: walking ones</t>
  </si>
  <si>
    <t>AHB_047</t>
  </si>
  <si>
    <t>walking_zeros</t>
  </si>
  <si>
    <t>Data pattern: walking zeros</t>
  </si>
  <si>
    <t>AHB_048</t>
  </si>
  <si>
    <t>checkerboard</t>
  </si>
  <si>
    <t>Data pattern: checkerboard (0xAA55AA55)</t>
  </si>
  <si>
    <t>AHB_049</t>
  </si>
  <si>
    <t>random_data</t>
  </si>
  <si>
    <t>Random data pattern verification</t>
  </si>
  <si>
    <t>AHB_050</t>
  </si>
  <si>
    <t>Byte Lane</t>
  </si>
  <si>
    <t>byte_lane_strobe</t>
  </si>
  <si>
    <t>Byte lane strobing verification</t>
  </si>
  <si>
    <t>AHB_051</t>
  </si>
  <si>
    <t>Protection</t>
  </si>
  <si>
    <t>HPROT</t>
  </si>
  <si>
    <t>data_access</t>
  </si>
  <si>
    <t>HPROT[0]=1 Data access</t>
  </si>
  <si>
    <t>AHB_052</t>
  </si>
  <si>
    <t>opcode_fetch</t>
  </si>
  <si>
    <t>HPROT[0]=0 Opcode fetch</t>
  </si>
  <si>
    <t>AHB_053</t>
  </si>
  <si>
    <t>privileged_access</t>
  </si>
  <si>
    <t>HPROT[1]=1 Privileged access</t>
  </si>
  <si>
    <t>AHB_054</t>
  </si>
  <si>
    <t>user_access</t>
  </si>
  <si>
    <t>HPROT[1]=0 User access</t>
  </si>
  <si>
    <t>AHB_055</t>
  </si>
  <si>
    <t>bufferable</t>
  </si>
  <si>
    <t>HPROT[2]=1 Bufferable transfer</t>
  </si>
  <si>
    <t>AHB_056</t>
  </si>
  <si>
    <t>cacheable</t>
  </si>
  <si>
    <t>HPROT[3]=1 Cacheable transfer</t>
  </si>
  <si>
    <t>AHB_057</t>
  </si>
  <si>
    <t>all_hprot_combos</t>
  </si>
  <si>
    <t>All HPROT combinations coverage</t>
  </si>
  <si>
    <t>AHB_058</t>
  </si>
  <si>
    <t>Arbitration</t>
  </si>
  <si>
    <t>HMASTLOCK</t>
  </si>
  <si>
    <t>locked_transfer</t>
  </si>
  <si>
    <t>Locked transfer sequence</t>
  </si>
  <si>
    <t>AHB_059</t>
  </si>
  <si>
    <t>unlock_sequence</t>
  </si>
  <si>
    <t>Unlock sequence verification</t>
  </si>
  <si>
    <t>AHB_060</t>
  </si>
  <si>
    <t>locked_burst</t>
  </si>
  <si>
    <t>Locked burst transfer</t>
  </si>
  <si>
    <t>AHB_061</t>
  </si>
  <si>
    <t>Pipeline</t>
  </si>
  <si>
    <t>Pipelining</t>
  </si>
  <si>
    <t>back_to_back_read</t>
  </si>
  <si>
    <t>Back-to-back read transfers</t>
  </si>
  <si>
    <t>AHB_062</t>
  </si>
  <si>
    <t>back_to_back_write</t>
  </si>
  <si>
    <t>Back-to-back write transfers</t>
  </si>
  <si>
    <t>AHB_063</t>
  </si>
  <si>
    <t>read_write_interleave</t>
  </si>
  <si>
    <t>Read-write interleaved transfers</t>
  </si>
  <si>
    <t>AHB_064</t>
  </si>
  <si>
    <t>address_data_phase</t>
  </si>
  <si>
    <t>Address và Data phase overlap</t>
  </si>
  <si>
    <t>AHB_065</t>
  </si>
  <si>
    <t>Reset</t>
  </si>
  <si>
    <t>HRESETn</t>
  </si>
  <si>
    <t>power_on_reset</t>
  </si>
  <si>
    <t>Power-on reset verification</t>
  </si>
  <si>
    <t>AHB_066</t>
  </si>
  <si>
    <t>reset_during_idle</t>
  </si>
  <si>
    <t>Reset trong idle state</t>
  </si>
  <si>
    <t>AHB_067</t>
  </si>
  <si>
    <t>reset_during_transfer</t>
  </si>
  <si>
    <t>Reset trong transfer đang diễn ra</t>
  </si>
  <si>
    <t>AHB_068</t>
  </si>
  <si>
    <t>reset_during_burst</t>
  </si>
  <si>
    <t>Reset trong burst transfer</t>
  </si>
  <si>
    <t>AHB_069</t>
  </si>
  <si>
    <t>reset_recovery</t>
  </si>
  <si>
    <t>Reset recovery và operation tiếp tục</t>
  </si>
  <si>
    <t>AHB_070</t>
  </si>
  <si>
    <t>Error Injection</t>
  </si>
  <si>
    <t>Protocol Error</t>
  </si>
  <si>
    <t>invalid_htrans</t>
  </si>
  <si>
    <t>Invalid HTRANS sequence</t>
  </si>
  <si>
    <t>AHB_071</t>
  </si>
  <si>
    <t>invalid_hburst</t>
  </si>
  <si>
    <t>Invalid HBURST encoding</t>
  </si>
  <si>
    <t>AHB_072</t>
  </si>
  <si>
    <t>size_addr_mismatch</t>
  </si>
  <si>
    <t>HSIZE-address alignment mismatch</t>
  </si>
  <si>
    <t>AHB_073</t>
  </si>
  <si>
    <t>early_burst_term</t>
  </si>
  <si>
    <t>Early burst termination</t>
  </si>
  <si>
    <t>AHB_074</t>
  </si>
  <si>
    <t>cross_1kb_boundary</t>
  </si>
  <si>
    <t>Cross 1KB boundary violation</t>
  </si>
  <si>
    <t>AHB_075</t>
  </si>
  <si>
    <t>Stress Test</t>
  </si>
  <si>
    <t>Traffic</t>
  </si>
  <si>
    <t>max_throughput</t>
  </si>
  <si>
    <t>Maximum throughput stress test</t>
  </si>
  <si>
    <t>AHB_076</t>
  </si>
  <si>
    <t>random_traffic</t>
  </si>
  <si>
    <t>Random traffic pattern stress</t>
  </si>
  <si>
    <t>AHB_077</t>
  </si>
  <si>
    <t>long_running</t>
  </si>
  <si>
    <t>Long running test (&gt;10000 transfers)</t>
  </si>
  <si>
    <t>P3</t>
  </si>
  <si>
    <t>AHB_078</t>
  </si>
  <si>
    <t>Mix</t>
  </si>
  <si>
    <t>burst_single_mix</t>
  </si>
  <si>
    <t>Burst và single transfer mixed</t>
  </si>
  <si>
    <t>AHB_079</t>
  </si>
  <si>
    <t>all_sizes_mix</t>
  </si>
  <si>
    <t>All transfer sizes mixed</t>
  </si>
  <si>
    <t>AHB_080</t>
  </si>
  <si>
    <t>Corner Case</t>
  </si>
  <si>
    <t>Timing</t>
  </si>
  <si>
    <t>min_clock_period</t>
  </si>
  <si>
    <t>Minimum clock period operation</t>
  </si>
  <si>
    <t>AHB_081</t>
  </si>
  <si>
    <t>clock_gating</t>
  </si>
  <si>
    <t>Clock gating scenarios</t>
  </si>
  <si>
    <t>AHB_082</t>
  </si>
  <si>
    <t>Sequence</t>
  </si>
  <si>
    <t>idle_to_nonseq</t>
  </si>
  <si>
    <t>IDLE to NONSEQ transition</t>
  </si>
  <si>
    <t>AHB_083</t>
  </si>
  <si>
    <t>busy_insert</t>
  </si>
  <si>
    <t>BUSY insertion trong burst</t>
  </si>
  <si>
    <t>AHB_084</t>
  </si>
  <si>
    <t>consecutive_bursts</t>
  </si>
  <si>
    <t>Consecutive bursts khác loại</t>
  </si>
  <si>
    <t>AHB_085</t>
  </si>
  <si>
    <t>Coverage</t>
  </si>
  <si>
    <t>Functional</t>
  </si>
  <si>
    <t>htrans_cross_hburst</t>
  </si>
  <si>
    <t>HTRANS x HBURST cross coverage</t>
  </si>
  <si>
    <t>AHB_086</t>
  </si>
  <si>
    <t>hsize_cross_hburst</t>
  </si>
  <si>
    <t>HSIZE x HBURST cross coverage</t>
  </si>
  <si>
    <t>AHB_087</t>
  </si>
  <si>
    <t>hwrite_cross_hburst</t>
  </si>
  <si>
    <t>HWRITE x HBURST cross coverage</t>
  </si>
  <si>
    <t>AHB_088</t>
  </si>
  <si>
    <t>hresp_cross_htrans</t>
  </si>
  <si>
    <t>HRESP x HTRANS cross coverage</t>
  </si>
  <si>
    <t>AHB_089</t>
  </si>
  <si>
    <t>signal_toggle</t>
  </si>
  <si>
    <t>All signals toggle coverage</t>
  </si>
  <si>
    <t>AHB_090</t>
  </si>
  <si>
    <t>Code</t>
  </si>
  <si>
    <t>code_coverage_90</t>
  </si>
  <si>
    <t>Code coverage &gt;90%</t>
  </si>
  <si>
    <t>AHB_091</t>
  </si>
  <si>
    <t>VIP Feature</t>
  </si>
  <si>
    <t>Master VIP</t>
  </si>
  <si>
    <t>master_config</t>
  </si>
  <si>
    <t>Master VIP configuration test</t>
  </si>
  <si>
    <t>AHB_092</t>
  </si>
  <si>
    <t>master_sequence</t>
  </si>
  <si>
    <t>Master sequence generation</t>
  </si>
  <si>
    <t>AHB_093</t>
  </si>
  <si>
    <t>Slave VIP</t>
  </si>
  <si>
    <t>slave_config</t>
  </si>
  <si>
    <t>Slave VIP configuration test</t>
  </si>
  <si>
    <t>AHB_094</t>
  </si>
  <si>
    <t>slave_response</t>
  </si>
  <si>
    <t>Slave response generation</t>
  </si>
  <si>
    <t>AHB_095</t>
  </si>
  <si>
    <t>Monitor</t>
  </si>
  <si>
    <t>protocol_check</t>
  </si>
  <si>
    <t>Protocol checker assertions</t>
  </si>
  <si>
    <t>AHB_096</t>
  </si>
  <si>
    <t>transaction_log</t>
  </si>
  <si>
    <t>Transaction logging verification</t>
  </si>
  <si>
    <t>AHB_097</t>
  </si>
  <si>
    <t>Scoreboard</t>
  </si>
  <si>
    <t>data_compare</t>
  </si>
  <si>
    <t>Data comparison scoreboard</t>
  </si>
  <si>
    <t>AHB_098</t>
  </si>
  <si>
    <t>vip_coverage</t>
  </si>
  <si>
    <t>VIP built-in coverage collection</t>
  </si>
  <si>
    <t>AHB_099</t>
  </si>
  <si>
    <t>Regression</t>
  </si>
  <si>
    <t>Sanity</t>
  </si>
  <si>
    <t>sanity_test</t>
  </si>
  <si>
    <t>Quick sanity regression test</t>
  </si>
  <si>
    <t>AHB_100</t>
  </si>
  <si>
    <t>Full</t>
  </si>
  <si>
    <t>full_regression</t>
  </si>
  <si>
    <t>Full regression test suite</t>
  </si>
  <si>
    <t>Metric</t>
  </si>
  <si>
    <t>Count</t>
  </si>
  <si>
    <t>Percentage</t>
  </si>
  <si>
    <t>Total Test Cases</t>
  </si>
  <si>
    <t>P1 (High Priority)</t>
  </si>
  <si>
    <t>P2 (Medium Priority)</t>
  </si>
  <si>
    <t>P3 (Low Priority)</t>
  </si>
  <si>
    <t>Status Summary</t>
  </si>
  <si>
    <t>In Progress</t>
  </si>
  <si>
    <t>Completed</t>
  </si>
  <si>
    <t>Blocked</t>
  </si>
  <si>
    <t>Deferred</t>
  </si>
  <si>
    <t>Result Summary</t>
  </si>
  <si>
    <t>Pass</t>
  </si>
  <si>
    <t>Fail</t>
  </si>
  <si>
    <t>N/A</t>
  </si>
  <si>
    <t>Not Executed</t>
  </si>
  <si>
    <t>CATEGORY BREAKDOWN</t>
  </si>
  <si>
    <t>% Total</t>
  </si>
  <si>
    <t>AHB SIGNAL REFERENCE</t>
  </si>
  <si>
    <t>Signal</t>
  </si>
  <si>
    <t>Width</t>
  </si>
  <si>
    <t>HCLK</t>
  </si>
  <si>
    <t>Bus clock</t>
  </si>
  <si>
    <t>Bus reset (active low)</t>
  </si>
  <si>
    <t>HADDR</t>
  </si>
  <si>
    <t>Address bus</t>
  </si>
  <si>
    <t>Transfer type</t>
  </si>
  <si>
    <t>HWRITE</t>
  </si>
  <si>
    <t>Write enable</t>
  </si>
  <si>
    <t>HSIZE</t>
  </si>
  <si>
    <t>Transfer size</t>
  </si>
  <si>
    <t>HBURST</t>
  </si>
  <si>
    <t>Burst type</t>
  </si>
  <si>
    <t>Protection control</t>
  </si>
  <si>
    <t>HWDATA</t>
  </si>
  <si>
    <t>Write data bus</t>
  </si>
  <si>
    <t>HRDATA</t>
  </si>
  <si>
    <t>Read data bus</t>
  </si>
  <si>
    <t>Transfer done</t>
  </si>
  <si>
    <t>Transfer response</t>
  </si>
  <si>
    <t>HSEL</t>
  </si>
  <si>
    <t>Slave select</t>
  </si>
  <si>
    <t>Locked transfer</t>
  </si>
  <si>
    <t>HTRANS ENCODING</t>
  </si>
  <si>
    <t>Value</t>
  </si>
  <si>
    <t>Type</t>
  </si>
  <si>
    <t>IDLE</t>
  </si>
  <si>
    <t>No transfer required</t>
  </si>
  <si>
    <t>BUSY</t>
  </si>
  <si>
    <t>Insert wait in burst</t>
  </si>
  <si>
    <t>NONSEQ</t>
  </si>
  <si>
    <t>First beat/single</t>
  </si>
  <si>
    <t>SEQ</t>
  </si>
  <si>
    <t>Continuation of burst</t>
  </si>
  <si>
    <t>HBURST ENCODING</t>
  </si>
  <si>
    <t>Beats</t>
  </si>
  <si>
    <t>SINGLE</t>
  </si>
  <si>
    <t>INCR</t>
  </si>
  <si>
    <t>Undefined</t>
  </si>
  <si>
    <t>WRAP4</t>
  </si>
  <si>
    <t>INCR4</t>
  </si>
  <si>
    <t>WRAP8</t>
  </si>
  <si>
    <t>INCR8</t>
  </si>
  <si>
    <t>WRAP16</t>
  </si>
  <si>
    <t>INCR16</t>
  </si>
  <si>
    <t>HSIZE ENCODING</t>
  </si>
  <si>
    <t>Size</t>
  </si>
  <si>
    <t>Bits</t>
  </si>
  <si>
    <t>Byte</t>
  </si>
  <si>
    <t>Halfword</t>
  </si>
  <si>
    <t>Word</t>
  </si>
  <si>
    <t>Doubleword</t>
  </si>
  <si>
    <t>4-word</t>
  </si>
  <si>
    <t>8-word</t>
  </si>
  <si>
    <t>AHB PROTOCOL VERIFICATION TEST PLAN</t>
  </si>
  <si>
    <t>VIP-to-VIP Design Verification for VLSI</t>
  </si>
  <si>
    <t>Document Information</t>
  </si>
  <si>
    <t>Document ID:</t>
  </si>
  <si>
    <t>Version:</t>
  </si>
  <si>
    <t>Project:</t>
  </si>
  <si>
    <t>Date:</t>
  </si>
  <si>
    <t>Author:</t>
  </si>
  <si>
    <t>DV Engineer</t>
  </si>
  <si>
    <t>Status:</t>
  </si>
  <si>
    <t>Draft</t>
  </si>
  <si>
    <t>Review Date:</t>
  </si>
  <si>
    <t>TBD</t>
  </si>
  <si>
    <t>Approved By:</t>
  </si>
  <si>
    <t>Test Count</t>
  </si>
  <si>
    <t>P1/P2</t>
  </si>
  <si>
    <t>Coverage Type</t>
  </si>
  <si>
    <t>Target</t>
  </si>
  <si>
    <t>Functional Coverage</t>
  </si>
  <si>
    <t>&gt;95%</t>
  </si>
  <si>
    <t>&gt;90%</t>
  </si>
  <si>
    <t>&gt;85%</t>
  </si>
  <si>
    <t>Assertion Coverage</t>
  </si>
  <si>
    <t>AHB PROTOCOL VERIFICATION CHECKLIST</t>
  </si>
  <si>
    <t>VIP-to-VIP Design Verification - VLSI</t>
  </si>
  <si>
    <t>SECTION 1: PRE-VERIFICATION CHECKLIST</t>
  </si>
  <si>
    <t>Item #</t>
  </si>
  <si>
    <t>Checklist Item</t>
  </si>
  <si>
    <t>Owner</t>
  </si>
  <si>
    <t>Date</t>
  </si>
  <si>
    <t>RTL code complete and frozen</t>
  </si>
  <si>
    <t>Design Lead</t>
  </si>
  <si>
    <t>☐ Pending</t>
  </si>
  <si>
    <t>Specification document reviewed</t>
  </si>
  <si>
    <t>DV Lead</t>
  </si>
  <si>
    <t>VIP licenses available and configured</t>
  </si>
  <si>
    <t>CAD Team</t>
  </si>
  <si>
    <t>Master VIP integrated and configured</t>
  </si>
  <si>
    <t>Slave VIP integrated and configured</t>
  </si>
  <si>
    <t>Monitor/Scoreboard connected</t>
  </si>
  <si>
    <t>Coverage model implemented</t>
  </si>
  <si>
    <t>Testbench compilation clean</t>
  </si>
  <si>
    <t>Basic sanity test passing</t>
  </si>
  <si>
    <t>Test plan review completed</t>
  </si>
  <si>
    <t>SECTION 2: PROTOCOL FEATURE VERIFICATION CHECKLIST</t>
  </si>
  <si>
    <t>Feature</t>
  </si>
  <si>
    <t>Sub-Feature</t>
  </si>
  <si>
    <t>Test Coverage</t>
  </si>
  <si>
    <t>Sign-off</t>
  </si>
  <si>
    <t>Read - BYTE</t>
  </si>
  <si>
    <t>☐ Not Started</t>
  </si>
  <si>
    <t>Read - HALFWORD</t>
  </si>
  <si>
    <t>Read - WORD</t>
  </si>
  <si>
    <t>Write - BYTE</t>
  </si>
  <si>
    <t>Write - HALFWORD</t>
  </si>
  <si>
    <t>Write - WORD</t>
  </si>
  <si>
    <t>INCR4 Read/Write</t>
  </si>
  <si>
    <t>AHB_007-008</t>
  </si>
  <si>
    <t>INCR8 Read/Write</t>
  </si>
  <si>
    <t>AHB_009-010</t>
  </si>
  <si>
    <t>INCR16 Read/Write</t>
  </si>
  <si>
    <t>AHB_011-012</t>
  </si>
  <si>
    <t>INCR Undefined</t>
  </si>
  <si>
    <t>WRAP4 Read/Write</t>
  </si>
  <si>
    <t>AHB_014-015</t>
  </si>
  <si>
    <t>WRAP8 Read/Write</t>
  </si>
  <si>
    <t>AHB_016-017</t>
  </si>
  <si>
    <t>WRAP16 Read/Write</t>
  </si>
  <si>
    <t>AHB_018-019</t>
  </si>
  <si>
    <t>IDLE Transfer</t>
  </si>
  <si>
    <t>BUSY Transfer</t>
  </si>
  <si>
    <t>NONSEQ Transfer</t>
  </si>
  <si>
    <t>SEQ Transfer</t>
  </si>
  <si>
    <t>Valid Transitions</t>
  </si>
  <si>
    <t>Zero Wait State</t>
  </si>
  <si>
    <t>Single/Multiple Wait</t>
  </si>
  <si>
    <t>AHB_026-027</t>
  </si>
  <si>
    <t>Random/Max Wait</t>
  </si>
  <si>
    <t>AHB_028-029</t>
  </si>
  <si>
    <t>OKAY Response</t>
  </si>
  <si>
    <t>ERROR Response</t>
  </si>
  <si>
    <t>AHB_032-033</t>
  </si>
  <si>
    <t>RETRY/SPLIT (AHB Full)</t>
  </si>
  <si>
    <t>AHB_034-035</t>
  </si>
  <si>
    <t>Two-cycle Error</t>
  </si>
  <si>
    <t>Alignment Verification</t>
  </si>
  <si>
    <t>AHB_037-039</t>
  </si>
  <si>
    <t>1KB Boundary Check</t>
  </si>
  <si>
    <t>AHB_040-041</t>
  </si>
  <si>
    <t>Address Range</t>
  </si>
  <si>
    <t>AHB_042-043</t>
  </si>
  <si>
    <t>All Data Patterns</t>
  </si>
  <si>
    <t>AHB_044-049</t>
  </si>
  <si>
    <t>Byte Lane Strobing</t>
  </si>
  <si>
    <t>All Combinations</t>
  </si>
  <si>
    <t>AHB_051-057</t>
  </si>
  <si>
    <t>Locked Transfers</t>
  </si>
  <si>
    <t>AHB_058-060</t>
  </si>
  <si>
    <t>Back-to-back/Interleave</t>
  </si>
  <si>
    <t>AHB_061-064</t>
  </si>
  <si>
    <t>All Reset Scenarios</t>
  </si>
  <si>
    <t>AHB_065-069</t>
  </si>
  <si>
    <t>SECTION 3: ERROR INJECTION &amp; STRESS TEST CHECKLIST</t>
  </si>
  <si>
    <t>Test Category</t>
  </si>
  <si>
    <t>Test Description</t>
  </si>
  <si>
    <t>Test IDs</t>
  </si>
  <si>
    <t>Result</t>
  </si>
  <si>
    <t>Notes</t>
  </si>
  <si>
    <t>HSIZE-Address mismatch</t>
  </si>
  <si>
    <t>1KB boundary violation</t>
  </si>
  <si>
    <t>Maximum throughput test</t>
  </si>
  <si>
    <t>Random traffic patterns</t>
  </si>
  <si>
    <t>Long-running test (&gt;10K)</t>
  </si>
  <si>
    <t>Burst/Single mix</t>
  </si>
  <si>
    <t>All sizes mix</t>
  </si>
  <si>
    <t>Min clock period</t>
  </si>
  <si>
    <t>Clock gating</t>
  </si>
  <si>
    <t>IDLE to NONSEQ</t>
  </si>
  <si>
    <t>BUSY insertion</t>
  </si>
  <si>
    <t>Consecutive bursts</t>
  </si>
  <si>
    <t>SECTION 4: VIP FEATURE VERIFICATION CHECKLIST</t>
  </si>
  <si>
    <t>VIP Component</t>
  </si>
  <si>
    <t>Configuration test</t>
  </si>
  <si>
    <t>Sequence generation</t>
  </si>
  <si>
    <t>Response generation</t>
  </si>
  <si>
    <t>Transaction logging</t>
  </si>
  <si>
    <t>Data comparison</t>
  </si>
  <si>
    <t>VIP coverage collection</t>
  </si>
  <si>
    <t>SECTION 5: COVERAGE VERIFICATION CHECKLIST</t>
  </si>
  <si>
    <t>Achieved</t>
  </si>
  <si>
    <t>HTRANS x HBURST cross</t>
  </si>
  <si>
    <t>HSIZE x HBURST cross</t>
  </si>
  <si>
    <t>HWRITE x HBURST cross</t>
  </si>
  <si>
    <t>HRESP x HTRANS cross</t>
  </si>
  <si>
    <t>Signal toggle coverage</t>
  </si>
  <si>
    <t>Line coverage</t>
  </si>
  <si>
    <t>Branch coverage</t>
  </si>
  <si>
    <t>FSM state coverage</t>
  </si>
  <si>
    <t>Assertion</t>
  </si>
  <si>
    <t>Protocol assertion hits</t>
  </si>
  <si>
    <t>SECTION 6: REGRESSION &amp; SIGN-OFF CHECKLIST</t>
  </si>
  <si>
    <t>Milestone</t>
  </si>
  <si>
    <t>Criteria</t>
  </si>
  <si>
    <t>Approver</t>
  </si>
  <si>
    <t>Sanity Regression</t>
  </si>
  <si>
    <t>Basic tests passing</t>
  </si>
  <si>
    <t>Full Regression</t>
  </si>
  <si>
    <t>All tests executed</t>
  </si>
  <si>
    <t>P1 Tests</t>
  </si>
  <si>
    <t>100% P1 tests passing</t>
  </si>
  <si>
    <t>P2 Tests</t>
  </si>
  <si>
    <t>&gt;90% P2 tests passing</t>
  </si>
  <si>
    <t>Functional &gt;95%</t>
  </si>
  <si>
    <t>Code &gt;90%</t>
  </si>
  <si>
    <t>Bug Status</t>
  </si>
  <si>
    <t>No critical/major open bugs</t>
  </si>
  <si>
    <t>Stability</t>
  </si>
  <si>
    <t>3 clean regression runs</t>
  </si>
  <si>
    <t>Documentation</t>
  </si>
  <si>
    <t>Test report complete</t>
  </si>
  <si>
    <t>Final Sign-off</t>
  </si>
  <si>
    <t>DV Lead approval</t>
  </si>
  <si>
    <t>SUMMARY STATISTICS</t>
  </si>
  <si>
    <t>Formula</t>
  </si>
  <si>
    <t>Total Checklist Items</t>
  </si>
  <si>
    <t>All verification items</t>
  </si>
  <si>
    <t>Pre-Verification Items</t>
  </si>
  <si>
    <t>Section 1</t>
  </si>
  <si>
    <t>Protocol Feature Items</t>
  </si>
  <si>
    <t>Section 2</t>
  </si>
  <si>
    <t>Error/Stress Items</t>
  </si>
  <si>
    <t>Section 3</t>
  </si>
  <si>
    <t>VIP Feature Items</t>
  </si>
  <si>
    <t>Section 4</t>
  </si>
  <si>
    <t>Coverage Items</t>
  </si>
  <si>
    <t>Section 5</t>
  </si>
  <si>
    <t>Regression Items</t>
  </si>
  <si>
    <t>Section 6</t>
  </si>
  <si>
    <t>Document Version: 1.0 | Date: May 19, 2026 | Project: AHB VIP-to-VIP Verification</t>
  </si>
  <si>
    <t>AHB-TP-002</t>
  </si>
  <si>
    <t>AHB Protocol VIP-to-VIP</t>
  </si>
  <si>
    <t>GROUP 1: BASIC TRANSFER TESTS</t>
  </si>
  <si>
    <t>Focus: Basic Read/Write transactions and fundamental transfer types (HTRANS)</t>
  </si>
  <si>
    <t>Test Name</t>
  </si>
  <si>
    <t>Verification Points</t>
  </si>
  <si>
    <t>Signals</t>
  </si>
  <si>
    <t>AHB_G1_001</t>
  </si>
  <si>
    <t>• HSIZE ≤ data bus width
• Correct data on HRDATA/HWDATA
• HRESP=OKAY for valid transfers
• Proper address alignment</t>
  </si>
  <si>
    <t>HTRANS, HBURST, HSIZE, HWRITE, HWDATA, HRDATA, HRESP</t>
  </si>
  <si>
    <t>AHB_G1_002</t>
  </si>
  <si>
    <t>ahb_idle_transfer_test</t>
  </si>
  <si>
    <t>Randomly insert HTRANS=IDLE beats between transactions. Verify Subordinate ignores these transfers and always responds with 0 wait state (OKAY status).</t>
  </si>
  <si>
    <t>• Subordinate responds with 0 wait state
• HRESP=OKAY during IDLE
• No data corruption
• HREADY remains HIGH</t>
  </si>
  <si>
    <t>HTRANS, HREADY, HRESP</t>
  </si>
  <si>
    <t>GROUP 2: BURST OPERATION TESTS</t>
  </si>
  <si>
    <t>Focus: Consecutive data sequences and strict address calculation rules (INCR, WRAP bursts)</t>
  </si>
  <si>
    <t>AHB_G2_001</t>
  </si>
  <si>
    <t>ahb_fixed_incr_burst_test</t>
  </si>
  <si>
    <t>Initiate fixed-length incrementing bursts: INCR4, INCR8, and INCR16. Verify address increments correctly based on HSIZE.</t>
  </si>
  <si>
    <t>• Address = Previous_Addr + (2^HSIZE)
• Correct beat count (4/8/16)
• HTRANS: NONSEQ → SEQ → SEQ...
• Data integrity per beat</t>
  </si>
  <si>
    <t>HBURST, HADDR, HSIZE, HTRANS</t>
  </si>
  <si>
    <t>AHB_G2_002</t>
  </si>
  <si>
    <t>ahb_wrap_burst_test</t>
  </si>
  <si>
    <t>Test wrapping bursts: WRAP4, WRAP8, and WRAP16. Verify address wraps correctly at boundary (beats × transfer_size).</t>
  </si>
  <si>
    <t>• Wrap boundary = beats × bytes_per_beat
• Address wraps to aligned block start
• Data integrity across wrap point
• Correct wrap address calculation</t>
  </si>
  <si>
    <t>HBURST, HADDR, HSIZE</t>
  </si>
  <si>
    <t>AHB_G2_003</t>
  </si>
  <si>
    <t>ahb_busy_burst_test</t>
  </si>
  <si>
    <t>Manager inserts HTRANS=BUSY mid-burst to pause next data beat. Verify Subordinate passes with 0 wait state. Also verify: Manager cannot end fixed-length burst (INCRx, WRAPx) with BUSY.</t>
  </si>
  <si>
    <t>• Subordinate: 0 wait state on BUSY
• Cannot end INCRx/WRAPx with BUSY
• Burst resumes correctly after BUSY
• BUSY only valid within burst</t>
  </si>
  <si>
    <t>HTRANS, HREADY, HBURST</t>
  </si>
  <si>
    <t>AHB_G2_004</t>
  </si>
  <si>
    <t>ahb_1kb_boundary_violation_test</t>
  </si>
  <si>
    <t>Create scenario where incrementing burst (INCR/INCRx) intentionally crosses 1KB address boundary. Protocol Checker/SVA must flag error (protocol forbids bursts crossing 1KB boundary).</t>
  </si>
  <si>
    <t>• SVA assertion fires on 1KB cross
• Protocol violation detected
• Error flagged by Monitor/Checker
• Verify boundary at 0x400 alignment</t>
  </si>
  <si>
    <t>HADDR, HBURST, HSIZE</t>
  </si>
  <si>
    <t>GROUP 3: WAIT STATES &amp; RESPONSE HANDLING TESTS</t>
  </si>
  <si>
    <t>Focus: AHB pipeline behavior when Subordinate requires extra time or reports errors</t>
  </si>
  <si>
    <t>AHB_G3_001</t>
  </si>
  <si>
    <t>ahb_random_wait_state_test</t>
  </si>
  <si>
    <t>Subordinate randomly pulls HREADYOUT LOW to insert wait states during transfers.</t>
  </si>
  <si>
    <t>• Transfer completes after HREADYOUT HIGH
• Data phase extends correctly
• No data corruption during wait
• Random wait cycles (1-N)</t>
  </si>
  <si>
    <t>HREADYOUT, HREADY, HRDATA, HWDATA</t>
  </si>
  <si>
    <t>AHB_G3_002</t>
  </si>
  <si>
    <t>ahb_manager_signal_stability_test</t>
  </si>
  <si>
    <t>While HREADY is LOW (wait states), verify Manager holds HTRANS and HADDR stable. Allowed exceptions: IDLE→NONSEQ, BUSY→SEQ, or BUSY→NONSEQ transitions.</t>
  </si>
  <si>
    <t>• HTRANS stable (except allowed)
• HADDR stable during wait
• HWRITE, HSIZE, HBURST stable
• Allowed: IDLE→NONSEQ, BUSY→SEQ/NONSEQ</t>
  </si>
  <si>
    <t>HREADY, HTRANS, HADDR, HWRITE, HSIZE, HBURST</t>
  </si>
  <si>
    <t>AHB_G3_003</t>
  </si>
  <si>
    <t>ahb_error_response_test</t>
  </si>
  <si>
    <t>Subordinate returns ERROR response. Verify 2-cycle error protocol:
• Cycle 1: HREADYOUT=LOW, HRESP=HIGH
• Cycle 2: HREADYOUT=HIGH, HRESP=HIGH
Verify Manager cancels remaining burst beats (HTRANS→IDLE). Manager may change address after ERROR.</t>
  </si>
  <si>
    <t>• ERROR spans exactly 2 cycles
• Cycle 1: HREADYOUT=0, HRESP=1
• Cycle 2: HREADYOUT=1, HRESP=1
• Manager: HTRANS→IDLE during error
• Address change allowed post-ERROR</t>
  </si>
  <si>
    <t>HRESP, HREADYOUT, HTRANS, HADDR</t>
  </si>
  <si>
    <t>GROUP 4: ADVANCED AHB5 FEATURES TESTS</t>
  </si>
  <si>
    <t>Focus: AHB5-specific features - Write Strobes, Exclusive Access, Locked Sequences, Extended Protection, Parity Error Injection</t>
  </si>
  <si>
    <t>AHB_G4_001</t>
  </si>
  <si>
    <t>ahb5_write_strobe_sparse_test</t>
  </si>
  <si>
    <t>Test sparse writes via HWSTRB signal. Randomly pull LOW bits of HWSTRB and verify on Scoreboard that Memory/Subordinate skips (does not write) corresponding byte lanes.</t>
  </si>
  <si>
    <t>• Byte lanes with HWSTRB=0 not written
• Byte lanes with HWSTRB=1 written
• Memory verified via Scoreboard
• All HWSTRB combinations tested</t>
  </si>
  <si>
    <t>HWSTRB, HWDATA, Memory</t>
  </si>
  <si>
    <t>AHB_G4_002</t>
  </si>
  <si>
    <t>ahb5_exclusive_access_test</t>
  </si>
  <si>
    <t>Test semaphore with HEXCL and HMASTER:
• SUCCESS: Excl. Write after Excl. Read → HEXOKAY=HIGH, data updated
• FAILURE: Other Manager writes between → HEXOKAY=LOW, no overwrite
Constraint: Exclusive = SINGLE/INCR only, no BUSY allowed.</t>
  </si>
  <si>
    <t>• HEXOKAY=1 for success sequence
• HEXOKAY=0 when interrupted
• Only SINGLE/INCR burst allowed
• No BUSY in exclusive access
• HMASTER ID tracked correctly</t>
  </si>
  <si>
    <t>HEXCL, HMASTER, HEXOKAY, HTRANS, HBURST</t>
  </si>
  <si>
    <t>AHB_G4_003</t>
  </si>
  <si>
    <t>ahb_locked_sequence_test</t>
  </si>
  <si>
    <t>Manager asserts HMASTLOCK HIGH for indivisible transaction sequence. Constraint: All beats in Locked Transfer must target same 1KB Subordinate address region.</t>
  </si>
  <si>
    <t>• HMASTLOCK HIGH entire sequence
• All addresses in same 1KB region
• No arbitration during locked
• Proper unlock sequence</t>
  </si>
  <si>
    <t>HMASTLOCK, HADDR</t>
  </si>
  <si>
    <t>AHB_G4_004</t>
  </si>
  <si>
    <t>ahb5_extended_protection_test</t>
  </si>
  <si>
    <t>Vary HPROT[6:0] bits to test memory access attributes: Cacheable, Bufferable, Shareable, Allocate, and Security partitioning (HNONSEC).</t>
  </si>
  <si>
    <t>• All HPROT[6:0] combinations
• HNONSEC secure/non-secure verified
• Memory attributes interpreted
• Access control enforced</t>
  </si>
  <si>
    <t>HPROT[6:0], HNONSEC</t>
  </si>
  <si>
    <t>AHB_G4_005</t>
  </si>
  <si>
    <t>ahb5_parity_error_injection_test</t>
  </si>
  <si>
    <t>Inject parity errors on hardware interface protection signals (HADDRCHK, HWDATACHK) using Odd Parity mechanism. Verify system response (error detection at Subordinate).</t>
  </si>
  <si>
    <t>• Parity error detected by Subordinate
• Error response generated
• Odd parity check verified
• System recovery tested</t>
  </si>
  <si>
    <t>HADDRCHK, HWDATACHK, HRESP</t>
  </si>
  <si>
    <t>TEST PLAN SUMMARY</t>
  </si>
  <si>
    <t>Group</t>
  </si>
  <si>
    <t>Group Name</t>
  </si>
  <si>
    <t>Key Signals</t>
  </si>
  <si>
    <t>Focus Area</t>
  </si>
  <si>
    <t>Group 1</t>
  </si>
  <si>
    <t>Basic Transfer Tests</t>
  </si>
  <si>
    <t>HTRANS, HBURST, HSIZE, HRESP</t>
  </si>
  <si>
    <t>Single R/W, IDLE handling</t>
  </si>
  <si>
    <t>Group 2</t>
  </si>
  <si>
    <t>Burst Operation Tests</t>
  </si>
  <si>
    <t>HBURST, HADDR, HTRANS</t>
  </si>
  <si>
    <t>INCR/WRAP bursts, 1KB boundary</t>
  </si>
  <si>
    <t>Group 3</t>
  </si>
  <si>
    <t>Wait States &amp; Response Tests</t>
  </si>
  <si>
    <t>HREADY, HRESP, HTRANS</t>
  </si>
  <si>
    <t>Wait states, ERROR response</t>
  </si>
  <si>
    <t>Group 4</t>
  </si>
  <si>
    <t>Advanced AHB5 Features</t>
  </si>
  <si>
    <t>HWSTRB, HEXCL, HMASTLOCK, HPROT</t>
  </si>
  <si>
    <t>AHB5 extensions</t>
  </si>
  <si>
    <t>TOTAL</t>
  </si>
  <si>
    <t>COVERAGE GOALS</t>
  </si>
  <si>
    <t>Current</t>
  </si>
  <si>
    <t>-</t>
  </si>
  <si>
    <t>Code Coverage (Line)</t>
  </si>
  <si>
    <t>Code Coverage (Branch)</t>
  </si>
  <si>
    <t>FSM State Coverage</t>
  </si>
  <si>
    <t>Document Version: 2.0 | Date: May 19, 2026 | Project: AHB VIP-to-VIP Verification | Author: DV Engineer</t>
  </si>
  <si>
    <t>Detailed Description</t>
  </si>
  <si>
    <t>Thực hiện single read transfer với kích thước WORD (32-bit). Master phát địa chỉ aligned, HTRANS=NONSEQ, HBURST=SINGLE. Slave trả về dữ liệu 32-bit trên HRDATA.</t>
  </si>
  <si>
    <t>Thực hiện single write transfer với kích thước WORD (32-bit). Master đẩy dữ liệu lên HWDATA, HTRANS=NONSEQ, HBURST=SINGLE. Slave ghi nhận dữ liệu.</t>
  </si>
  <si>
    <t>Thực hiện single read transfer với kích thước HALFWORD (16-bit). Kiểm tra byte lane strobing và địa chỉ halfword-aligned.</t>
  </si>
  <si>
    <t>Thực hiện single write transfer với kích thước HALFWORD (16-bit). Kiểm tra byte lane và địa chỉ halfword-aligned.</t>
  </si>
  <si>
    <t>Thực hiện single read transfer với kích thước BYTE (8-bit). Kiểm tra byte lane selection dựa trên HADDR[1:0].</t>
  </si>
  <si>
    <t>Thực hiện single write transfer với kích thước BYTE (8-bit). Kiểm tra byte lane enable cho từng vị trí byte.</t>
  </si>
  <si>
    <t>Burst read 4-beat incrementing. Địa chỉ tăng dần: Addr, Addr+4, Addr+8, Addr+12 (với HSIZE=WORD).</t>
  </si>
  <si>
    <t>Burst write 4-beat incrementing. HTRANS: NONSEQ→SEQ→SEQ→SEQ. Địa chỉ tự động increment.</t>
  </si>
  <si>
    <t>Burst read 8-beat incrementing. Kiểm tra 8 beat liên tiếp với địa chỉ tăng dần theo HSIZE.</t>
  </si>
  <si>
    <t>Burst write 8-beat incrementing. 8 data beats với địa chỉ increment tự động.</t>
  </si>
  <si>
    <t>Burst read 16-beat incrementing. Kiểm tra full 16-beat burst không vượt 1KB boundary.</t>
  </si>
  <si>
    <t>Burst write 16-beat incrementing. 16 data phases với address pipeline chính xác.</t>
  </si>
  <si>
    <t>Undefined length incrementing burst. Burst có thể kết thúc bất kỳ lúc nào bằng IDLE hoặc NONSEQ mới.</t>
  </si>
  <si>
    <t>Wrap burst 4-beat read. Địa chỉ wrap tại boundary = 4 × bytes_per_beat.</t>
  </si>
  <si>
    <t>Wrap burst 4-beat write. Kiểm tra wrap address calculation và data integrity.</t>
  </si>
  <si>
    <t>Wrap burst 8-beat read. Địa chỉ wrap tại boundary = 8 × bytes_per_beat.</t>
  </si>
  <si>
    <t>Wrap burst 8-beat write. 8-beat wrapping với địa chỉ quay vòng đúng.</t>
  </si>
  <si>
    <t>Wrap burst 16-beat read. Kiểm tra wrap boundary lớn nhất với 16 beats.</t>
  </si>
  <si>
    <t>Wrap burst 16-beat write. Full 16-beat wrapping burst verification.</t>
  </si>
  <si>
    <t>Verify HTRANS=IDLE không tạo transfer. Slave ignore và respond với 0 wait state.</t>
  </si>
  <si>
    <t>Verify HTRANS=BUSY trong burst. Slave respond 0 wait state, burst tiếp tục sau BUSY.</t>
  </si>
  <si>
    <t>Verify HTRANS=NONSEQ bắt đầu transfer mới hoặc single transfer.</t>
  </si>
  <si>
    <t>Verify HTRANS=SEQ cho các beat tiếp theo trong burst.</t>
  </si>
  <si>
    <t>Kiểm tra tất cả valid HTRANS transitions: IDLE→NONSEQ, NONSEQ→SEQ, SEQ→SEQ, etc.</t>
  </si>
  <si>
    <t>Transfer hoàn thành ngay trong 1 cycle với HREADY=1 liên tục.</t>
  </si>
  <si>
    <t>Slave insert 1 wait state bằng cách kéo HREADY=0 trong 1 cycle.</t>
  </si>
  <si>
    <t>Slave insert nhiều wait states (2-16 cycles) để test pipeline behavior.</t>
  </si>
  <si>
    <t>Random number of wait states được insert để stress test timing.</t>
  </si>
  <si>
    <t>Test maximum wait states cho phép (implementation-dependent).</t>
  </si>
  <si>
    <t>Burst transfer với wait states xen kẽ giữa các beats.</t>
  </si>
  <si>
    <t>Verify HRESP=OKAY (00) cho successful transfer completion.</t>
  </si>
  <si>
    <t>Verify HRESP=ERROR response và 2-cycle error protocol.</t>
  </si>
  <si>
    <t>Error response xảy ra giữa burst, verify Manager xử lý đúng.</t>
  </si>
  <si>
    <t>RETRY response (AHB Full) - Slave yêu cầu retry transfer.</t>
  </si>
  <si>
    <t>SPLIT response (AHB Full) - Transfer được split, Master chờ unsplit.</t>
  </si>
  <si>
    <t>Kiểm tra 2-cycle error protocol: Cycle1 HREADY=0/HRESP=1, Cycle2 HREADY=1/HRESP=1.</t>
  </si>
  <si>
    <t>Transfer với địa chỉ word-aligned (HADDR[1:0]=00).</t>
  </si>
  <si>
    <t>Transfer với địa chỉ halfword-aligned (HADDR[0]=0).</t>
  </si>
  <si>
    <t>Byte transfer có thể dùng bất kỳ địa chỉ nào (unaligned OK cho BYTE).</t>
  </si>
  <si>
    <t>Verify burst không cross 1KB boundary. SVA assertion check.</t>
  </si>
  <si>
    <t>Verify wrap boundary address calculation chính xác.</t>
  </si>
  <si>
    <t>Test với minimum address value 0x00000000.</t>
  </si>
  <si>
    <t>Test với maximum address value 0xFFFFFFFF.</t>
  </si>
  <si>
    <t>Data pattern all zeros - verify không có stuck-at-1 faults.</t>
  </si>
  <si>
    <t>Data pattern all ones - verify không có stuck-at-0 faults.</t>
  </si>
  <si>
    <t>Walking ones pattern để detect shorts giữa data lines.</t>
  </si>
  <si>
    <t>Walking zeros pattern để detect opens trên data lines.</t>
  </si>
  <si>
    <t>Checkerboard pattern (0xAA55AA55) để detect adjacent bit coupling.</t>
  </si>
  <si>
    <t>Random data patterns để maximize toggle coverage.</t>
  </si>
  <si>
    <t>Verify byte lane strobing cho partial writes với HWSTRB.</t>
  </si>
  <si>
    <t>HPROT[0]=1 indicating data access (vs opcode fetch).</t>
  </si>
  <si>
    <t>HPROT[0]=0 indicating instruction/opcode fetch.</t>
  </si>
  <si>
    <t>HPROT[1]=1 indicating privileged/supervisor access.</t>
  </si>
  <si>
    <t>HPROT[1]=0 indicating user-level access.</t>
  </si>
  <si>
    <t>HPROT[2]=1 indicating bufferable transaction.</t>
  </si>
  <si>
    <t>HPROT[3]=1 indicating cacheable transaction.</t>
  </si>
  <si>
    <t>Test all 16 combinations của HPROT[3:0].</t>
  </si>
  <si>
    <t>Locked transfer sequence với HMASTLOCK=1. Không cho arbitrate.</t>
  </si>
  <si>
    <t>Verify unlock sequence - HMASTLOCK=0 sau locked burst.</t>
  </si>
  <si>
    <t>Locked burst transfer - entire burst không bị interrupt.</t>
  </si>
  <si>
    <t>Back-to-back read transfers với pipeline overlap.</t>
  </si>
  <si>
    <t>Back-to-back write transfers với pipeline overlap.</t>
  </si>
  <si>
    <t>Interleaved read-write pattern để test full pipeline.</t>
  </si>
  <si>
    <t>Verify address phase overlap với previous data phase.</t>
  </si>
  <si>
    <t>Power-on reset verification - all signals go to default.</t>
  </si>
  <si>
    <t>Reset trong idle state - clean reset handling.</t>
  </si>
  <si>
    <t>Reset xảy ra trong ongoing transfer - verify clean abort.</t>
  </si>
  <si>
    <t>Reset xảy ra giữa burst - verify burst termination.</t>
  </si>
  <si>
    <t>Verify system recovery sau reset và resume operation.</t>
  </si>
  <si>
    <t>Inject invalid HTRANS sequence (e.g., SEQ without NONSEQ).</t>
  </si>
  <si>
    <t>Inject invalid HBURST encoding để test error handling.</t>
  </si>
  <si>
    <t>Mismatch giữa HSIZE và address alignment.</t>
  </si>
  <si>
    <t>Terminate burst sớm trước khi đủ beats.</t>
  </si>
  <si>
    <t>Intentionally cross 1KB boundary để verify assertion fires.</t>
  </si>
  <si>
    <t>Maximum throughput test với zero wait states.</t>
  </si>
  <si>
    <t>Random traffic pattern stress test.</t>
  </si>
  <si>
    <t>Long running test với &gt;10000 transfers.</t>
  </si>
  <si>
    <t>Mixed burst và single transfers.</t>
  </si>
  <si>
    <t>Mixed tất cả transfer sizes trong một session.</t>
  </si>
  <si>
    <t>Test operation tại minimum clock period.</t>
  </si>
  <si>
    <t>Test với clock gating enable/disable.</t>
  </si>
  <si>
    <t>IDLE to NONSEQ transition verification.</t>
  </si>
  <si>
    <t>BUSY insertion trong burst verification.</t>
  </si>
  <si>
    <t>Consecutive bursts với different types.</t>
  </si>
  <si>
    <t>Cross coverage: HTRANS × HBURST combinations.</t>
  </si>
  <si>
    <t>Cross coverage: HSIZE × HBURST combinations.</t>
  </si>
  <si>
    <t>Cross coverage: HWRITE × HBURST combinations.</t>
  </si>
  <si>
    <t>Cross coverage: HRESP × HTRANS combinations.</t>
  </si>
  <si>
    <t>Toggle coverage cho tất cả signals.</t>
  </si>
  <si>
    <t>Achieve &gt;90% line coverage trên RTL.</t>
  </si>
  <si>
    <t>Master VIP configuration và parameter test.</t>
  </si>
  <si>
    <t>Master sequence generation verification.</t>
  </si>
  <si>
    <t>Slave VIP configuration và parameter test.</t>
  </si>
  <si>
    <t>Slave response generation verification.</t>
  </si>
  <si>
    <t>Protocol checker SVA assertions verification.</t>
  </si>
  <si>
    <t>Transaction logging và analysis verification.</t>
  </si>
  <si>
    <t>Scoreboard data comparison verification.</t>
  </si>
  <si>
    <t>VIP built-in coverage collection verification.</t>
  </si>
  <si>
    <t>Quick sanity regression để verify basic functionality.</t>
  </si>
  <si>
    <t>Full regression với all test cases.</t>
  </si>
  <si>
    <t>• HSIZE=010 (32-bit)
• HWRITE=0 (read)
• HRESP=OKAY
• Data valid on HRDATA when HREADY=1</t>
  </si>
  <si>
    <t>• HSIZE=010 (32-bit)
• HWRITE=1 (write)
• HRESP=OKAY
• Data sampled from HWDATA</t>
  </si>
  <si>
    <t>• HSIZE=001 (16-bit)
• Address bit[0]=0
• Correct byte lane active
• HRESP=OKAY</t>
  </si>
  <si>
    <t>• HSIZE=001 (16-bit)
• HWRITE=1
• Halfword alignment
• Correct HWDATA byte lanes</t>
  </si>
  <si>
    <t>• HSIZE=000 (8-bit)
• Any byte address valid
• Single byte lane active
• HRESP=OKAY</t>
  </si>
  <si>
    <t>• HSIZE=000 (8-bit)
• HWRITE=1
• Byte lane based on HADDR[1:0]
• HRESP=OKAY</t>
  </si>
  <si>
    <t>• HBURST=011 (INCR4)
• 4 sequential addresses
• HTRANS: NONSEQ→SEQ→SEQ→SEQ
• Data integrity</t>
  </si>
  <si>
    <t>• HBURST=011
• HWRITE=1
• Address increment = 2^HSIZE
• All 4 beats complete</t>
  </si>
  <si>
    <t>• HBURST=101 (INCR8)
• 8 sequential addresses
• No 1KB boundary cross
• Data integrity all beats</t>
  </si>
  <si>
    <t>• HBURST=101
• HWRITE=1
• 8 data phases
• Correct pipeline timing</t>
  </si>
  <si>
    <t>• HBURST=111 (INCR16)
• 16 beats complete
• Address calculation correct
• No protocol violation</t>
  </si>
  <si>
    <t>• HBURST=111
• HWRITE=1
• 16 write data phases
• HTRANS sequence correct</t>
  </si>
  <si>
    <t>• HBURST=001 (INCR)
• Variable length
• Proper termination
• No mandatory beat count</t>
  </si>
  <si>
    <t>• HBURST=010 (WRAP4)
• Wrap at 4×size boundary
• Address wrap calculation
• Data integrity across wrap</t>
  </si>
  <si>
    <t>• HBURST=010
• HWRITE=1
• Wrap boundary correct
• All 4 beats data valid</t>
  </si>
  <si>
    <t>• HBURST=100 (WRAP8)
• Wrap at 8×size boundary
• 8 beats complete
• Address wraps correctly</t>
  </si>
  <si>
    <t>• HBURST=100
• HWRITE=1
• 8 data phases
• Wrap address verified</t>
  </si>
  <si>
    <t>• HBURST=110 (WRAP16)
• Wrap at 16×size boundary
• 16 beats
• Largest wrap boundary</t>
  </si>
  <si>
    <t>• HBURST=110
• HWRITE=1
• 16 beats with wrap
• Full data integrity</t>
  </si>
  <si>
    <t>• HTRANS=00 (IDLE)
• No transfer occurs
• HRESP=OKAY (0 wait)
• Slave ignores address/data</t>
  </si>
  <si>
    <t>• HTRANS=01 (BUSY)
• Within burst only
• Slave: 0 wait state
• Burst continues after</t>
  </si>
  <si>
    <t>• HTRANS=10 (NONSEQ)
• First beat of burst
• Or single transfer
• New address phase</t>
  </si>
  <si>
    <t>• HTRANS=11 (SEQ)
• Burst continuation
• Address = prev + size
• Same control signals</t>
  </si>
  <si>
    <t>• Valid: IDLE→NONSEQ
• Valid: NONSEQ→SEQ
• Valid: SEQ→SEQ
• Invalid transitions flagged</t>
  </si>
  <si>
    <t>• HREADY=1 always
• Single cycle transfer
• No pipeline stall
• Maximum throughput</t>
  </si>
  <si>
    <t>• HREADY=0 for 1 cycle
• Transfer extends 1 cycle
• Data held stable
• Correct completion</t>
  </si>
  <si>
    <t>• HREADY=0 for N cycles
• Pipeline stalls correctly
• No data corruption
• Proper resume</t>
  </si>
  <si>
    <t>• Random wait count
• Stress pipeline
• Verify stability
• No timing violations</t>
  </si>
  <si>
    <t>• Max wait cycles
• No timeout
• Eventually completes
• System stable</t>
  </si>
  <si>
    <t>• Wait states between beats
• Burst not broken
• Data phases extend
• Address pipeline ok</t>
  </si>
  <si>
    <t>• HRESP=00 (OKAY)
• Transfer successful
• Data valid
• No error condition</t>
  </si>
  <si>
    <t>• HRESP=01 (ERROR)
• 2-cycle protocol
• Manager handles error
• May retry or abort</t>
  </si>
  <si>
    <t>• ERROR during burst
• Remaining beats cancelled
• HTRANS→IDLE
• Clean recovery</t>
  </si>
  <si>
    <t>• HRESP=10 (RETRY)
• AHB Full only
• Manager retries later
• Arbitration released</t>
  </si>
  <si>
    <t>• HRESP=11 (SPLIT)
• AHB Full only
• Wait for unsplit
• Complex arbitration</t>
  </si>
  <si>
    <t>• Cycle 1: HREADY=0, HRESP=1
• Cycle 2: HREADY=1, HRESP=1
• Manager: HTRANS→IDLE
• 2 cycles exactly</t>
  </si>
  <si>
    <t>• HADDR[1:0]=00
• For WORD transfers
• No alignment error
• HRESP=OKAY</t>
  </si>
  <si>
    <t>• HADDR[0]=0
• For HALFWORD transfers
• Correct alignment
• HRESP=OKAY</t>
  </si>
  <si>
    <t>• HSIZE=BYTE
• Any HADDR valid
• No alignment requirement
• Single byte lane</t>
  </si>
  <si>
    <t>• Burst stays within 1KB
• HADDR[9:0] monitored
• SVA: no cross assertion
• Protocol compliant</t>
  </si>
  <si>
    <t>• Wrap boundary = beats×size
• Address wraps to block start
• Aligned to transfer size
• Calculation verified</t>
  </si>
  <si>
    <t>• HADDR=0x00000000
• Valid transfer
• No underflow
• HRESP=OKAY</t>
  </si>
  <si>
    <t>• HADDR=0xFFFFFFFF
• Valid transfer
• No overflow
• HRESP=OKAY</t>
  </si>
  <si>
    <t>• HWDATA=0x00000000
• HRDATA=0x00000000
• No stuck-at-1
• Data integrity</t>
  </si>
  <si>
    <t>• HWDATA=0xFFFFFFFF
• HRDATA=0xFFFFFFFF
• No stuck-at-0
• Data integrity</t>
  </si>
  <si>
    <t>• Single 1 walks through
• Detect shorts
• 32 patterns
• All positions tested</t>
  </si>
  <si>
    <t>• Single 0 walks through
• Detect opens
• 32 patterns
• All positions tested</t>
  </si>
  <si>
    <t>• Pattern 0xAA55AA55
• Adjacent bits different
• Detect coupling
• Data integrity</t>
  </si>
  <si>
    <t>• Random 32-bit values
• High toggle rate
• Stress data paths
• No corruption</t>
  </si>
  <si>
    <t>• HWSTRB per byte lane
• 0=no write, 1=write
• Selective byte update
• Memory verified</t>
  </si>
  <si>
    <t>• HPROT[0]=1
• Data access type
• Memory region check
• Protection enforced</t>
  </si>
  <si>
    <t>• HPROT[0]=0
• Opcode fetch type
• Instruction memory
• Execute permission</t>
  </si>
  <si>
    <t>• HPROT[1]=1
• Privileged mode
• Supervisor access
• Higher privilege</t>
  </si>
  <si>
    <t>• HPROT[1]=0
• User mode
• Limited access
• Lower privilege</t>
  </si>
  <si>
    <t>• HPROT[2]=1
• Bufferable
• Write can buffer
• No immediate commit</t>
  </si>
  <si>
    <t>• HPROT[3]=1
• Cacheable
• Can be cached
• Cache coherency</t>
  </si>
  <si>
    <t>• All 16 HPROT values
• Correct interpretation
• Access control
• Protection matrix</t>
  </si>
  <si>
    <t>• HMASTLOCK=1
• No arbitration
• Atomic sequence
• Same slave region</t>
  </si>
  <si>
    <t>• HMASTLOCK 1→0
• Unlock correct
• Arbitration resumes
• Clean transition</t>
  </si>
  <si>
    <t>• Full burst locked
• No interruption
• HMASTLOCK held
• Atomic completion</t>
  </si>
  <si>
    <t>• Consecutive reads
• Pipeline full
• No idle cycles
• Maximum read BW</t>
  </si>
  <si>
    <t>• Consecutive writes
• Pipeline full
• No idle cycles
• Maximum write BW</t>
  </si>
  <si>
    <t>• R-W-R-W pattern
• Pipeline maintained
• Direction changes
• No stalls</t>
  </si>
  <si>
    <t>• Addr phase overlaps
• Data phase previous
• Proper pipeline
• Timing correct</t>
  </si>
  <si>
    <t>• HRESETn=0 applied
• All outputs default
• HTRANS=IDLE
• Clean state</t>
  </si>
  <si>
    <t>• Reset during IDLE
• Clean reset
• No residual state
• Quick recovery</t>
  </si>
  <si>
    <t>• Mid-transfer reset
• Transfer aborted
• No corruption
• Clean restart</t>
  </si>
  <si>
    <t>• Mid-burst reset
• Burst terminated
• No partial data
• Clean state</t>
  </si>
  <si>
    <t>• Post-reset operation
• Normal function
• No errors
• Full recovery</t>
  </si>
  <si>
    <t>• Invalid HTRANS sequence
• Error detected
• SVA fires
• Protocol violation</t>
  </si>
  <si>
    <t>• Invalid HBURST value
• Error detected
• Monitor flags
• Protocol violation</t>
  </si>
  <si>
    <t>• HSIZE vs HADDR mismatch
• Alignment error
• Protocol violation
• Error response</t>
  </si>
  <si>
    <t>• Early termination
• Protocol deviation
• Monitor detects
• Error handling</t>
  </si>
  <si>
    <t>• Cross 1KB boundary
• SVA fires
• Protocol violation
• Critical error</t>
  </si>
  <si>
    <t>• Zero wait states
• Back-to-back transfers
• Max bandwidth
• Sustained traffic</t>
  </si>
  <si>
    <t>• Random patterns
• Unpredictable traffic
• Stress arbitration
• No deadlock</t>
  </si>
  <si>
    <t>• &gt;10K transfers
• Stability test
• No degradation
• Memory check</t>
  </si>
  <si>
    <t>• Burst + single mix
• Random selection
• All types work
• No conflicts</t>
  </si>
  <si>
    <t>• All HSIZE values
• Mixed in sequence
• Correct handling
• Data integrity</t>
  </si>
  <si>
    <t>• Min clock period
• Setup/hold met
• No timing errors
• Functional</t>
  </si>
  <si>
    <t>• Clock gating
• Enable/disable
• State preserved
• Clean resume</t>
  </si>
  <si>
    <t>• IDLE→NONSEQ
• Valid transition
• New transfer starts
• Protocol correct</t>
  </si>
  <si>
    <t>• BUSY in burst
• Valid insertion
• Burst continues
• No termination</t>
  </si>
  <si>
    <t>• INCR4→WRAP8→INCR16
• Different types
• Clean transitions
• All complete</t>
  </si>
  <si>
    <t>• HTRANS×HBURST bins
• All valid combinations
• Coverage goal met
• No holes</t>
  </si>
  <si>
    <t>• HSIZE×HBURST bins
• All valid combinations
• Size+burst coverage
• Complete</t>
  </si>
  <si>
    <t>• HWRITE×HBURST bins
• Read and write
• All burst types
• Full coverage</t>
  </si>
  <si>
    <t>• HRESP×HTRANS bins
• Response coverage
• All combinations
• Error scenarios</t>
  </si>
  <si>
    <t>• All signals toggle
• 0→1 and 1→0
• No stuck bits
• Toggle coverage</t>
  </si>
  <si>
    <t>• Line coverage &gt;90%
• All code executed
• Dead code identified
• Quality metric</t>
  </si>
  <si>
    <t>• Master config valid
• Parameters set
• VIP functional
• Config verified</t>
  </si>
  <si>
    <t>• Sequences generated
• Valid transactions
• Coverage driven
• Randomization ok</t>
  </si>
  <si>
    <t>• Slave config valid
• Parameters set
• VIP functional
• Config verified</t>
  </si>
  <si>
    <t>• Responses generated
• Valid protocol
• Wait/error/ok
• All response types</t>
  </si>
  <si>
    <t>• SVA active
• Violations caught
• Protocol checked
• Real-time monitoring</t>
  </si>
  <si>
    <t>• Transactions logged
• Analysis possible
• Debug support
• Full trace</t>
  </si>
  <si>
    <t>• Data compared
• Write vs read
• Mismatches flagged
• Memory model ok</t>
  </si>
  <si>
    <t>• Coverage collected
• Bins hit tracked
• Goals monitored
• Reports generated</t>
  </si>
  <si>
    <t>• Sanity suite pass
• Basic function ok
• Quick turnaround
• Gate for full</t>
  </si>
  <si>
    <t>• All tests executed
• Results collected
• Coverage merged
• Sign-off ready</t>
  </si>
  <si>
    <t>Signals Under Test</t>
  </si>
  <si>
    <t>HADDR, HTRANS, HBURST, HSIZE, HWRITE, HRDATA, HREADY, HRESP</t>
  </si>
  <si>
    <t>HADDR, HTRANS, HBURST, HSIZE, HWRITE, HWDATA, HREADY, HRESP</t>
  </si>
  <si>
    <t>HADDR, HTRANS, HBURST, HSIZE, HWRITE, HWDATA, HRDATA, HREADY, HRESP</t>
  </si>
  <si>
    <t>HTRANS, HREADY, HRESP, HBURST</t>
  </si>
  <si>
    <t>HTRANS, HADDR, HBURST, HSIZE, HWRITE</t>
  </si>
  <si>
    <t>HTRANS, HADDR, HBURST, HSIZE</t>
  </si>
  <si>
    <t>HTRANS (all transitions)</t>
  </si>
  <si>
    <t>HREADY, HTRANS, HADDR, HWDATA, HRDATA, HRESP</t>
  </si>
  <si>
    <t>HREADY, HREADYOUT, HTRANS, HWDATA, HRDATA</t>
  </si>
  <si>
    <t>HREADY, HREADYOUT, HTRANS, HADDR, HWDATA, HRDATA</t>
  </si>
  <si>
    <t>HREADY, HREADYOUT (random pattern)</t>
  </si>
  <si>
    <t>HREADY, HREADYOUT (max wait)</t>
  </si>
  <si>
    <t>HREADY, HREADYOUT, HBURST, HTRANS</t>
  </si>
  <si>
    <t>HRESP, HREADY, HRDATA</t>
  </si>
  <si>
    <t>HRESP, HREADY, HREADYOUT, HTRANS</t>
  </si>
  <si>
    <t>HRESP, HREADY, HTRANS, HBURST</t>
  </si>
  <si>
    <t>HRESP (RETRY), HREADY, HMASTER</t>
  </si>
  <si>
    <t>HRESP (SPLIT), HREADY, HMASTER, HSPLITx</t>
  </si>
  <si>
    <t>HRESP, HREADY, HREADYOUT (2-cycle protocol)</t>
  </si>
  <si>
    <t>HADDR, HSIZE, HRESP</t>
  </si>
  <si>
    <t>HADDR, HBURST, HSIZE (1KB boundary check)</t>
  </si>
  <si>
    <t>HADDR, HBURST, HSIZE (wrap calculation)</t>
  </si>
  <si>
    <t>HADDR (0x00000000)</t>
  </si>
  <si>
    <t>HADDR (0xFFFFFFFF)</t>
  </si>
  <si>
    <t>HWDATA, HRDATA (all zeros pattern)</t>
  </si>
  <si>
    <t>HWDATA, HRDATA (all ones pattern)</t>
  </si>
  <si>
    <t>HWDATA, HRDATA (walking ones)</t>
  </si>
  <si>
    <t>HWDATA, HRDATA (walking zeros)</t>
  </si>
  <si>
    <t>HWDATA, HRDATA (checkerboard)</t>
  </si>
  <si>
    <t>HWDATA, HRDATA (random)</t>
  </si>
  <si>
    <t>HWSTRB, HWDATA, HSIZE</t>
  </si>
  <si>
    <t>HPROT[0], HADDR</t>
  </si>
  <si>
    <t>HPROT[1], HADDR</t>
  </si>
  <si>
    <t>HPROT[2], HADDR</t>
  </si>
  <si>
    <t>HPROT[3], HADDR</t>
  </si>
  <si>
    <t>HPROT[3:0] (all combinations)</t>
  </si>
  <si>
    <t>HMASTLOCK, HADDR, HTRANS, HBURST</t>
  </si>
  <si>
    <t>HMASTLOCK, HTRANS</t>
  </si>
  <si>
    <t>HMASTLOCK, HBURST, HTRANS</t>
  </si>
  <si>
    <t>HTRANS, HADDR, HRDATA, HREADY</t>
  </si>
  <si>
    <t>HTRANS, HADDR, HWDATA, HREADY</t>
  </si>
  <si>
    <t>HTRANS, HADDR, HWRITE, HWDATA, HRDATA, HREADY</t>
  </si>
  <si>
    <t>HTRANS, HADDR, HWDATA, HRDATA, HREADY</t>
  </si>
  <si>
    <t>HRESETn, HTRANS, HADDR, all signals</t>
  </si>
  <si>
    <t>HRESETn, HTRANS</t>
  </si>
  <si>
    <t>HRESETn, HTRANS, HADDR, HWDATA, HRDATA</t>
  </si>
  <si>
    <t>HRESETn, HTRANS, HBURST, HADDR</t>
  </si>
  <si>
    <t>HRESETn, all signals</t>
  </si>
  <si>
    <t>HTRANS (invalid sequence injection)</t>
  </si>
  <si>
    <t>HBURST (invalid encoding injection)</t>
  </si>
  <si>
    <t>HSIZE, HADDR (mismatch injection)</t>
  </si>
  <si>
    <t>HTRANS, HBURST (early termination)</t>
  </si>
  <si>
    <t>HADDR, HBURST, HSIZE (1KB violation)</t>
  </si>
  <si>
    <t>HREADY, HTRANS, all data/control signals</t>
  </si>
  <si>
    <t>HTRANS, HBURST, HSIZE, HWRITE (random)</t>
  </si>
  <si>
    <t>All signals (long duration)</t>
  </si>
  <si>
    <t>HTRANS, HBURST (mixed patterns)</t>
  </si>
  <si>
    <t>HSIZE (all values mixed)</t>
  </si>
  <si>
    <t>HCLK, all signals (min period)</t>
  </si>
  <si>
    <t>HCLK, HRESETn, all signals</t>
  </si>
  <si>
    <t>HTRANS (IDLE→NONSEQ transition)</t>
  </si>
  <si>
    <t>HTRANS (BUSY insertion)</t>
  </si>
  <si>
    <t>HBURST (consecutive different types)</t>
  </si>
  <si>
    <t>HTRANS, HBURST (cross coverage)</t>
  </si>
  <si>
    <t>HSIZE, HBURST (cross coverage)</t>
  </si>
  <si>
    <t>HWRITE, HBURST (cross coverage)</t>
  </si>
  <si>
    <t>HRESP, HTRANS (cross coverage)</t>
  </si>
  <si>
    <t>All signals (toggle coverage)</t>
  </si>
  <si>
    <t>All RTL signals (code coverage)</t>
  </si>
  <si>
    <t>Master VIP config signals</t>
  </si>
  <si>
    <t>Master VIP sequence signals</t>
  </si>
  <si>
    <t>Slave VIP config signals</t>
  </si>
  <si>
    <t>Slave VIP response signals: HREADYOUT, HRESP, HRDATA</t>
  </si>
  <si>
    <t>All protocol signals (SVA monitoring)</t>
  </si>
  <si>
    <t>All transaction signals (logging)</t>
  </si>
  <si>
    <t>HWDATA, HRDATA (comparison)</t>
  </si>
  <si>
    <t>All coverage signals</t>
  </si>
  <si>
    <t>Basic protocol signals subset</t>
  </si>
  <si>
    <t>All protocol signals (full regression)</t>
  </si>
  <si>
    <t>AHB PROTOCOL VERIFICATION PLAN (VIP TO VIP) - DESIGN VERIFICATION - DETAILED TEST SPECIFICATIONS</t>
  </si>
  <si>
    <t>AMBA AHB-Lite / AHB Full Protocol Verification Checklist - With Detailed Description, Verification Points &amp; Signals</t>
  </si>
  <si>
    <t>Start Date</t>
  </si>
  <si>
    <t>Update Date</t>
  </si>
  <si>
    <t>ahb_basic_single_w_test</t>
  </si>
  <si>
    <t>25/5/2026</t>
  </si>
  <si>
    <t>Execute simple Write commands with HTRANS=NONSEQ, HBURST=SINGLE. Verify transfer sizes (HSIZE) from 8-bit up to 1024-bit, ensuring HSIZE never exceeds data bus width.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</si>
</sst>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dd\-mmm\-yy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57C00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CFD8DC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1976D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5" borderId="4" xfId="0" applyFill="1" applyBorder="1"/>
    <xf numFmtId="0" fontId="0" fillId="6" borderId="4" xfId="0" applyFill="1" applyBorder="1"/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9" fontId="0" fillId="5" borderId="4" xfId="0" applyNumberFormat="1" applyFill="1" applyBorder="1" applyAlignment="1">
      <alignment horizontal="center"/>
    </xf>
    <xf numFmtId="9" fontId="0" fillId="6" borderId="4" xfId="0" applyNumberFormat="1" applyFill="1" applyBorder="1" applyAlignment="1">
      <alignment horizontal="center"/>
    </xf>
    <xf numFmtId="0" fontId="5" fillId="4" borderId="1" xfId="0" applyFont="1" applyFill="1" applyBorder="1"/>
    <xf numFmtId="0" fontId="1" fillId="7" borderId="1" xfId="0" applyFont="1" applyFill="1" applyBorder="1"/>
    <xf numFmtId="0" fontId="0" fillId="0" borderId="1" xfId="0" applyBorder="1"/>
    <xf numFmtId="0" fontId="5" fillId="8" borderId="1" xfId="0" applyFont="1" applyFill="1" applyBorder="1"/>
    <xf numFmtId="0" fontId="5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/>
    <xf numFmtId="0" fontId="0" fillId="6" borderId="9" xfId="0" applyFill="1" applyBorder="1" applyAlignment="1">
      <alignment horizontal="center"/>
    </xf>
    <xf numFmtId="9" fontId="0" fillId="6" borderId="9" xfId="0" applyNumberFormat="1" applyFill="1" applyBorder="1" applyAlignment="1">
      <alignment horizontal="center"/>
    </xf>
    <xf numFmtId="0" fontId="0" fillId="6" borderId="10" xfId="0" applyFill="1" applyBorder="1"/>
    <xf numFmtId="9" fontId="0" fillId="0" borderId="1" xfId="0" applyNumberFormat="1" applyBorder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15" fontId="0" fillId="0" borderId="0" xfId="0" applyNumberFormat="1" applyAlignment="1">
      <alignment vertical="top" wrapText="1"/>
    </xf>
    <xf numFmtId="0" fontId="1" fillId="23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20" borderId="1" xfId="0" applyFill="1" applyBorder="1" applyAlignment="1">
      <alignment vertical="top" wrapText="1"/>
    </xf>
    <xf numFmtId="0" fontId="1" fillId="24" borderId="1" xfId="0" applyFont="1" applyFill="1" applyBorder="1" applyAlignment="1">
      <alignment vertical="top" wrapText="1"/>
    </xf>
    <xf numFmtId="0" fontId="3" fillId="24" borderId="1" xfId="0" applyFont="1" applyFill="1" applyBorder="1" applyAlignment="1">
      <alignment vertical="top" wrapText="1"/>
    </xf>
    <xf numFmtId="0" fontId="1" fillId="15" borderId="1" xfId="0" applyFont="1" applyFill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12" borderId="11" xfId="0" applyFont="1" applyFill="1" applyBorder="1" applyAlignment="1">
      <alignment vertical="top" wrapText="1"/>
    </xf>
    <xf numFmtId="0" fontId="0" fillId="0" borderId="12" xfId="0" applyBorder="1" applyAlignment="1">
      <alignment vertical="top" wrapText="1"/>
    </xf>
    <xf numFmtId="9" fontId="0" fillId="0" borderId="12" xfId="0" applyNumberFormat="1" applyBorder="1" applyAlignment="1">
      <alignment vertical="top" wrapText="1"/>
    </xf>
    <xf numFmtId="0" fontId="0" fillId="0" borderId="13" xfId="0" applyBorder="1" applyAlignment="1">
      <alignment vertical="top" wrapText="1"/>
    </xf>
    <xf numFmtId="9" fontId="0" fillId="0" borderId="13" xfId="0" applyNumberFormat="1" applyBorder="1" applyAlignment="1">
      <alignment vertical="top" wrapText="1"/>
    </xf>
    <xf numFmtId="0" fontId="1" fillId="15" borderId="11" xfId="0" applyFont="1" applyFill="1" applyBorder="1" applyAlignment="1">
      <alignment vertical="top" wrapText="1"/>
    </xf>
    <xf numFmtId="0" fontId="1" fillId="18" borderId="11" xfId="0" applyFont="1" applyFill="1" applyBorder="1" applyAlignment="1">
      <alignment vertical="top" wrapText="1"/>
    </xf>
    <xf numFmtId="0" fontId="1" fillId="21" borderId="11" xfId="0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center" vertical="top" wrapText="1"/>
    </xf>
    <xf numFmtId="0" fontId="0" fillId="6" borderId="6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  <xf numFmtId="0" fontId="0" fillId="6" borderId="9" xfId="0" applyFill="1" applyBorder="1" applyAlignment="1">
      <alignment horizontal="center" vertical="top" wrapText="1"/>
    </xf>
    <xf numFmtId="0" fontId="4" fillId="25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6" fillId="10" borderId="0" xfId="0" applyFont="1" applyFill="1" applyAlignment="1">
      <alignment vertical="top" wrapText="1"/>
    </xf>
    <xf numFmtId="0" fontId="11" fillId="11" borderId="0" xfId="0" applyFont="1" applyFill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9" fillId="14" borderId="0" xfId="0" applyFont="1" applyFill="1" applyAlignment="1">
      <alignment vertical="top" wrapText="1"/>
    </xf>
    <xf numFmtId="0" fontId="6" fillId="16" borderId="0" xfId="0" applyFont="1" applyFill="1" applyAlignment="1">
      <alignment vertical="top" wrapText="1"/>
    </xf>
    <xf numFmtId="0" fontId="9" fillId="17" borderId="0" xfId="0" applyFont="1" applyFill="1" applyAlignment="1">
      <alignment vertical="top" wrapText="1"/>
    </xf>
    <xf numFmtId="0" fontId="6" fillId="19" borderId="0" xfId="0" applyFont="1" applyFill="1" applyAlignment="1">
      <alignment vertical="top" wrapText="1"/>
    </xf>
    <xf numFmtId="0" fontId="9" fillId="20" borderId="0" xfId="0" applyFont="1" applyFill="1" applyAlignment="1">
      <alignment vertical="top" wrapText="1"/>
    </xf>
    <xf numFmtId="0" fontId="4" fillId="22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6" fillId="4" borderId="0" xfId="0" applyFont="1" applyFill="1"/>
    <xf numFmtId="0" fontId="0" fillId="0" borderId="0" xfId="0"/>
    <xf numFmtId="0" fontId="10" fillId="0" borderId="0" xfId="0" applyFont="1"/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165" fontId="0" fillId="0" borderId="12" xfId="0" applyNumberFormat="1" applyBorder="1" applyAlignment="1">
      <alignment vertical="top" wrapText="1"/>
    </xf>
    <xf numFmtId="165" fontId="0" fillId="0" borderId="13" xfId="0" applyNumberFormat="1" applyBorder="1" applyAlignment="1">
      <alignment vertical="top" wrapText="1"/>
    </xf>
  </cellXfs>
  <cellStyles count="1">
    <cellStyle name="Normal" xfId="0" builtinId="0"/>
  </cellStyles>
  <dxfs count="27">
    <dxf>
      <font>
        <b/>
        <i val="0"/>
        <color rgb="FFFFFFFF"/>
      </font>
      <fill>
        <patternFill patternType="solid">
          <fgColor indexed="64"/>
          <bgColor rgb="FFDC3545"/>
        </patternFill>
      </fill>
    </dxf>
    <dxf>
      <font>
        <b/>
        <i val="0"/>
        <color rgb="FFFFFFFF"/>
      </font>
      <fill>
        <patternFill patternType="solid">
          <fgColor indexed="64"/>
          <bgColor rgb="FF28A745"/>
        </patternFill>
      </fill>
    </dxf>
    <dxf>
      <font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0EE90"/>
        </patternFill>
      </fill>
    </dxf>
    <dxf>
      <fill>
        <patternFill patternType="solid">
          <fgColor indexed="64"/>
          <bgColor rgb="FF87CEEB"/>
        </patternFill>
      </fill>
    </dxf>
    <dxf>
      <fill>
        <patternFill patternType="solid">
          <fgColor indexed="64"/>
          <bgColor rgb="FFD3D3D3"/>
        </patternFill>
      </fill>
    </dxf>
    <dxf>
      <font>
        <color rgb="FF000000"/>
      </font>
      <fill>
        <patternFill patternType="solid">
          <fgColor indexed="64"/>
          <bgColor rgb="FF77DD77"/>
        </patternFill>
      </fill>
    </dxf>
    <dxf>
      <font>
        <color rgb="FF000000"/>
      </font>
      <fill>
        <patternFill patternType="solid">
          <fgColor indexed="64"/>
          <bgColor rgb="FFFFB347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E9EFF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border diagonalUp="0" diagonalDown="0">
        <left style="thin">
          <color auto="1"/>
        </left>
        <right/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numFmt numFmtId="13" formatCode="0%"/>
      <fill>
        <patternFill patternType="solid">
          <fgColor indexed="64"/>
          <bgColor rgb="FFE9EF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border diagonalUp="0" diagonalDown="0">
        <left style="thin">
          <color auto="1"/>
        </left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fill>
        <patternFill patternType="solid">
          <fgColor indexed="64"/>
          <bgColor rgb="FFE9EFF7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ck">
          <color auto="1"/>
        </top>
        <bottom style="thick">
          <color auto="1"/>
        </bottom>
        <vertical/>
        <horizontal/>
      </border>
    </dxf>
    <dxf>
      <border outline="0">
        <top style="thick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E9EFF7"/>
        </patternFill>
      </fill>
      <alignment horizontal="center" vertical="bottom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42E70-B246-4E86-B4C0-D29A69BB7E91}" name="AHB_TestPlan" displayName="AHB_TestPlan" ref="A4:M104" totalsRowShown="0" headerRowDxfId="26" dataDxfId="24" headerRowBorderDxfId="25" tableBorderDxfId="23" totalsRowBorderDxfId="22">
  <autoFilter ref="A4:M104" xr:uid="{24D42E70-B246-4E86-B4C0-D29A69BB7E91}"/>
  <tableColumns count="13">
    <tableColumn id="1" xr3:uid="{057A0B20-2EF9-4563-BE7B-5DC251BCF4BA}" name="Test ID" dataDxfId="21"/>
    <tableColumn id="2" xr3:uid="{00BEE11D-8CC4-46FE-8F50-AEDDF96F64D6}" name="Category" dataDxfId="20"/>
    <tableColumn id="3" xr3:uid="{D2248733-1EEC-422A-BAB9-FF7CD8380011}" name="Sub-Category" dataDxfId="19"/>
    <tableColumn id="4" xr3:uid="{0D137602-3520-4120-8B2F-ADE06C420D1D}" name="Test Case Name" dataDxfId="18"/>
    <tableColumn id="5" xr3:uid="{767AE70D-85BB-4FA1-AF8E-ED4EF3E51731}" name="Description" dataDxfId="17"/>
    <tableColumn id="6" xr3:uid="{B9C41E02-EF5D-476F-A8DF-F05F85A8D00C}" name="Priority" dataDxfId="16"/>
    <tableColumn id="7" xr3:uid="{4963515F-6EFF-4461-BE07-A1409EC65874}" name="Coverage Goal" dataDxfId="15"/>
    <tableColumn id="8" xr3:uid="{B63426A4-F9A2-43F7-8B03-729C93600027}" name="Status" dataDxfId="14"/>
    <tableColumn id="9" xr3:uid="{05C1F7AF-75A0-4C8C-BE8F-7D298111317F}" name="Pass/Fail" dataDxfId="13"/>
    <tableColumn id="10" xr3:uid="{236B05BB-200F-47EE-96E0-253E0D7238F9}" name="Comments" dataDxfId="12"/>
    <tableColumn id="11" xr3:uid="{A303FBD5-F5E1-43C5-8B81-050F1E61BF1F}" name="Detailed Description" dataDxfId="11"/>
    <tableColumn id="12" xr3:uid="{BD116482-66CB-4B0A-944C-0DDAAFCBFFDE}" name="Verification Points" dataDxfId="10"/>
    <tableColumn id="13" xr3:uid="{061C8C61-68B0-4916-92AD-299779475CDF}" name="Signals Under Test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985C-BCB4-438C-95D0-34C6EDC18DCF}">
  <dimension ref="A1:L62"/>
  <sheetViews>
    <sheetView tabSelected="1" workbookViewId="0">
      <pane ySplit="2" topLeftCell="A38" activePane="bottomLeft" state="frozen"/>
      <selection pane="bottomLeft" activeCell="D40" sqref="D40"/>
    </sheetView>
  </sheetViews>
  <sheetFormatPr defaultRowHeight="14.4" x14ac:dyDescent="0.3"/>
  <cols>
    <col min="1" max="1" width="17.5546875" customWidth="1"/>
    <col min="2" max="2" width="37" customWidth="1"/>
    <col min="3" max="3" width="51.88671875" customWidth="1"/>
    <col min="4" max="4" width="40.77734375" customWidth="1"/>
    <col min="5" max="5" width="33.33203125" customWidth="1"/>
    <col min="6" max="6" width="11.109375" customWidth="1"/>
    <col min="7" max="9" width="13" customWidth="1"/>
    <col min="10" max="10" width="15.77734375" customWidth="1"/>
    <col min="11" max="11" width="12" customWidth="1"/>
    <col min="12" max="12" width="18.5546875" customWidth="1"/>
  </cols>
  <sheetData>
    <row r="1" spans="1:12" ht="34.950000000000003" customHeight="1" x14ac:dyDescent="0.3">
      <c r="A1" s="60" t="s">
        <v>434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</row>
    <row r="2" spans="1:12" ht="25.05" customHeight="1" x14ac:dyDescent="0.3">
      <c r="A2" s="61" t="s">
        <v>435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1:12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x14ac:dyDescent="0.3">
      <c r="A4" s="71" t="s">
        <v>436</v>
      </c>
      <c r="B4" s="71"/>
      <c r="C4" s="71"/>
      <c r="D4" s="71"/>
      <c r="E4" s="33"/>
      <c r="F4" s="33"/>
      <c r="G4" s="33"/>
      <c r="H4" s="33"/>
      <c r="I4" s="33"/>
      <c r="J4" s="33"/>
      <c r="K4" s="33"/>
      <c r="L4" s="33"/>
    </row>
    <row r="5" spans="1:12" x14ac:dyDescent="0.3">
      <c r="A5" s="34" t="s">
        <v>437</v>
      </c>
      <c r="B5" s="33" t="s">
        <v>613</v>
      </c>
      <c r="C5" s="34" t="s">
        <v>438</v>
      </c>
      <c r="D5" s="33">
        <v>2</v>
      </c>
      <c r="E5" s="33"/>
      <c r="F5" s="33"/>
      <c r="G5" s="33"/>
      <c r="H5" s="33"/>
      <c r="I5" s="33"/>
      <c r="J5" s="33"/>
      <c r="K5" s="33"/>
      <c r="L5" s="33"/>
    </row>
    <row r="6" spans="1:12" x14ac:dyDescent="0.3">
      <c r="A6" s="34" t="s">
        <v>439</v>
      </c>
      <c r="B6" s="33" t="s">
        <v>614</v>
      </c>
      <c r="C6" s="34" t="s">
        <v>440</v>
      </c>
      <c r="D6" s="35">
        <v>46161</v>
      </c>
      <c r="E6" s="33"/>
      <c r="F6" s="33"/>
      <c r="G6" s="33"/>
      <c r="H6" s="33"/>
      <c r="I6" s="33"/>
      <c r="J6" s="33"/>
      <c r="K6" s="33"/>
      <c r="L6" s="33"/>
    </row>
    <row r="7" spans="1:12" x14ac:dyDescent="0.3">
      <c r="A7" s="34" t="s">
        <v>441</v>
      </c>
      <c r="B7" s="33" t="s">
        <v>442</v>
      </c>
      <c r="C7" s="34" t="s">
        <v>443</v>
      </c>
      <c r="D7" s="33" t="s">
        <v>444</v>
      </c>
      <c r="E7" s="33"/>
      <c r="F7" s="33"/>
      <c r="G7" s="33"/>
      <c r="H7" s="33"/>
      <c r="I7" s="33"/>
      <c r="J7" s="33"/>
      <c r="K7" s="33"/>
      <c r="L7" s="33"/>
    </row>
    <row r="8" spans="1:12" x14ac:dyDescent="0.3">
      <c r="A8" s="34" t="s">
        <v>445</v>
      </c>
      <c r="B8" s="33" t="s">
        <v>446</v>
      </c>
      <c r="C8" s="34" t="s">
        <v>447</v>
      </c>
      <c r="D8" s="33" t="s">
        <v>446</v>
      </c>
      <c r="E8" s="33"/>
      <c r="F8" s="33"/>
      <c r="G8" s="33"/>
      <c r="H8" s="33"/>
      <c r="I8" s="33"/>
      <c r="J8" s="33"/>
      <c r="K8" s="33"/>
      <c r="L8" s="33"/>
    </row>
    <row r="9" spans="1:12" x14ac:dyDescent="0.3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ht="28.05" customHeight="1" x14ac:dyDescent="0.3">
      <c r="A10" s="62" t="s">
        <v>615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</row>
    <row r="11" spans="1:12" x14ac:dyDescent="0.3">
      <c r="A11" s="63" t="s">
        <v>616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</row>
    <row r="12" spans="1:12" x14ac:dyDescent="0.3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ht="15" thickBot="1" x14ac:dyDescent="0.35">
      <c r="A13" s="46" t="s">
        <v>0</v>
      </c>
      <c r="B13" s="46" t="s">
        <v>617</v>
      </c>
      <c r="C13" s="46" t="s">
        <v>4</v>
      </c>
      <c r="D13" s="46" t="s">
        <v>618</v>
      </c>
      <c r="E13" s="46" t="s">
        <v>619</v>
      </c>
      <c r="F13" s="46" t="s">
        <v>5</v>
      </c>
      <c r="G13" s="46" t="s">
        <v>301</v>
      </c>
      <c r="H13" s="46" t="s">
        <v>1006</v>
      </c>
      <c r="I13" s="46" t="s">
        <v>1007</v>
      </c>
      <c r="J13" s="46" t="s">
        <v>7</v>
      </c>
      <c r="K13" s="46" t="s">
        <v>8</v>
      </c>
      <c r="L13" s="46" t="s">
        <v>541</v>
      </c>
    </row>
    <row r="14" spans="1:12" ht="70.05" customHeight="1" thickBot="1" x14ac:dyDescent="0.35">
      <c r="A14" s="47" t="s">
        <v>620</v>
      </c>
      <c r="B14" s="47" t="s">
        <v>1008</v>
      </c>
      <c r="C14" s="47" t="s">
        <v>1010</v>
      </c>
      <c r="D14" s="47" t="s">
        <v>621</v>
      </c>
      <c r="E14" s="47" t="s">
        <v>622</v>
      </c>
      <c r="F14" s="47" t="s">
        <v>15</v>
      </c>
      <c r="G14" s="48">
        <v>1</v>
      </c>
      <c r="H14" s="82" t="s">
        <v>1009</v>
      </c>
      <c r="I14" s="82"/>
      <c r="J14" s="47" t="s">
        <v>16</v>
      </c>
      <c r="K14" s="47"/>
      <c r="L14" s="47"/>
    </row>
    <row r="15" spans="1:12" ht="60" customHeight="1" thickBot="1" x14ac:dyDescent="0.35">
      <c r="A15" s="49" t="s">
        <v>623</v>
      </c>
      <c r="B15" s="49" t="s">
        <v>624</v>
      </c>
      <c r="C15" s="49" t="s">
        <v>625</v>
      </c>
      <c r="D15" s="49" t="s">
        <v>626</v>
      </c>
      <c r="E15" s="49" t="s">
        <v>627</v>
      </c>
      <c r="F15" s="49" t="s">
        <v>15</v>
      </c>
      <c r="G15" s="50">
        <v>1</v>
      </c>
      <c r="H15" s="82" t="s">
        <v>1009</v>
      </c>
      <c r="I15" s="83"/>
      <c r="J15" s="49" t="s">
        <v>16</v>
      </c>
      <c r="K15" s="49"/>
      <c r="L15" s="49"/>
    </row>
    <row r="16" spans="1:12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ht="28.05" customHeight="1" x14ac:dyDescent="0.3">
      <c r="A17" s="64" t="s">
        <v>628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</row>
    <row r="18" spans="1:12" x14ac:dyDescent="0.3">
      <c r="A18" s="65" t="s">
        <v>629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</row>
    <row r="19" spans="1:12" x14ac:dyDescent="0.3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ht="15" thickBot="1" x14ac:dyDescent="0.35">
      <c r="A20" s="51" t="s">
        <v>0</v>
      </c>
      <c r="B20" s="51" t="s">
        <v>617</v>
      </c>
      <c r="C20" s="51" t="s">
        <v>4</v>
      </c>
      <c r="D20" s="51" t="s">
        <v>618</v>
      </c>
      <c r="E20" s="51" t="s">
        <v>619</v>
      </c>
      <c r="F20" s="51" t="s">
        <v>5</v>
      </c>
      <c r="G20" s="51" t="s">
        <v>301</v>
      </c>
      <c r="H20" s="51" t="s">
        <v>1006</v>
      </c>
      <c r="I20" s="51" t="s">
        <v>1007</v>
      </c>
      <c r="J20" s="51" t="s">
        <v>7</v>
      </c>
      <c r="K20" s="51" t="s">
        <v>8</v>
      </c>
      <c r="L20" s="51" t="s">
        <v>541</v>
      </c>
    </row>
    <row r="21" spans="1:12" ht="64.95" customHeight="1" thickBot="1" x14ac:dyDescent="0.35">
      <c r="A21" s="47" t="s">
        <v>630</v>
      </c>
      <c r="B21" s="47" t="s">
        <v>631</v>
      </c>
      <c r="C21" s="47" t="s">
        <v>632</v>
      </c>
      <c r="D21" s="47" t="s">
        <v>633</v>
      </c>
      <c r="E21" s="47" t="s">
        <v>634</v>
      </c>
      <c r="F21" s="47" t="s">
        <v>15</v>
      </c>
      <c r="G21" s="48">
        <v>1</v>
      </c>
      <c r="H21" s="82" t="s">
        <v>1009</v>
      </c>
      <c r="I21" s="82"/>
      <c r="J21" s="47" t="s">
        <v>16</v>
      </c>
      <c r="K21" s="47"/>
      <c r="L21" s="47"/>
    </row>
    <row r="22" spans="1:12" ht="64.95" customHeight="1" thickBot="1" x14ac:dyDescent="0.35">
      <c r="A22" s="47" t="s">
        <v>635</v>
      </c>
      <c r="B22" s="47" t="s">
        <v>636</v>
      </c>
      <c r="C22" s="47" t="s">
        <v>637</v>
      </c>
      <c r="D22" s="47" t="s">
        <v>638</v>
      </c>
      <c r="E22" s="47" t="s">
        <v>639</v>
      </c>
      <c r="F22" s="47" t="s">
        <v>15</v>
      </c>
      <c r="G22" s="48">
        <v>1</v>
      </c>
      <c r="H22" s="82" t="s">
        <v>1009</v>
      </c>
      <c r="I22" s="82"/>
      <c r="J22" s="47" t="s">
        <v>16</v>
      </c>
      <c r="K22" s="47"/>
      <c r="L22" s="47"/>
    </row>
    <row r="23" spans="1:12" ht="70.05" customHeight="1" thickBot="1" x14ac:dyDescent="0.35">
      <c r="A23" s="47" t="s">
        <v>640</v>
      </c>
      <c r="B23" s="47" t="s">
        <v>641</v>
      </c>
      <c r="C23" s="47" t="s">
        <v>642</v>
      </c>
      <c r="D23" s="47" t="s">
        <v>643</v>
      </c>
      <c r="E23" s="47" t="s">
        <v>644</v>
      </c>
      <c r="F23" s="47" t="s">
        <v>15</v>
      </c>
      <c r="G23" s="48">
        <v>1</v>
      </c>
      <c r="H23" s="82" t="s">
        <v>1009</v>
      </c>
      <c r="I23" s="82"/>
      <c r="J23" s="47" t="s">
        <v>16</v>
      </c>
      <c r="K23" s="47"/>
      <c r="L23" s="47"/>
    </row>
    <row r="24" spans="1:12" ht="70.05" customHeight="1" thickBot="1" x14ac:dyDescent="0.35">
      <c r="A24" s="49" t="s">
        <v>645</v>
      </c>
      <c r="B24" s="49" t="s">
        <v>646</v>
      </c>
      <c r="C24" s="49" t="s">
        <v>647</v>
      </c>
      <c r="D24" s="49" t="s">
        <v>648</v>
      </c>
      <c r="E24" s="49" t="s">
        <v>649</v>
      </c>
      <c r="F24" s="49" t="s">
        <v>15</v>
      </c>
      <c r="G24" s="50">
        <v>1</v>
      </c>
      <c r="H24" s="82" t="s">
        <v>1009</v>
      </c>
      <c r="I24" s="83"/>
      <c r="J24" s="49" t="s">
        <v>16</v>
      </c>
      <c r="K24" s="49"/>
      <c r="L24" s="49"/>
    </row>
    <row r="25" spans="1:12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</row>
    <row r="26" spans="1:12" ht="28.05" customHeight="1" x14ac:dyDescent="0.3">
      <c r="A26" s="66" t="s">
        <v>650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</row>
    <row r="27" spans="1:12" x14ac:dyDescent="0.3">
      <c r="A27" s="67" t="s">
        <v>651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</row>
    <row r="28" spans="1:12" x14ac:dyDescent="0.3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</row>
    <row r="29" spans="1:12" ht="15" thickBot="1" x14ac:dyDescent="0.35">
      <c r="A29" s="52" t="s">
        <v>0</v>
      </c>
      <c r="B29" s="52" t="s">
        <v>617</v>
      </c>
      <c r="C29" s="52" t="s">
        <v>4</v>
      </c>
      <c r="D29" s="52" t="s">
        <v>618</v>
      </c>
      <c r="E29" s="52" t="s">
        <v>619</v>
      </c>
      <c r="F29" s="52" t="s">
        <v>5</v>
      </c>
      <c r="G29" s="52" t="s">
        <v>301</v>
      </c>
      <c r="H29" s="52" t="s">
        <v>1006</v>
      </c>
      <c r="I29" s="52" t="s">
        <v>1007</v>
      </c>
      <c r="J29" s="52" t="s">
        <v>7</v>
      </c>
      <c r="K29" s="52" t="s">
        <v>8</v>
      </c>
      <c r="L29" s="52" t="s">
        <v>541</v>
      </c>
    </row>
    <row r="30" spans="1:12" ht="64.95" customHeight="1" thickBot="1" x14ac:dyDescent="0.35">
      <c r="A30" s="47" t="s">
        <v>652</v>
      </c>
      <c r="B30" s="47" t="s">
        <v>653</v>
      </c>
      <c r="C30" s="47" t="s">
        <v>654</v>
      </c>
      <c r="D30" s="47" t="s">
        <v>655</v>
      </c>
      <c r="E30" s="47" t="s">
        <v>656</v>
      </c>
      <c r="F30" s="47" t="s">
        <v>15</v>
      </c>
      <c r="G30" s="48">
        <v>1</v>
      </c>
      <c r="H30" s="82" t="s">
        <v>1009</v>
      </c>
      <c r="I30" s="82"/>
      <c r="J30" s="47" t="s">
        <v>16</v>
      </c>
      <c r="K30" s="47"/>
      <c r="L30" s="47"/>
    </row>
    <row r="31" spans="1:12" ht="70.05" customHeight="1" thickBot="1" x14ac:dyDescent="0.35">
      <c r="A31" s="47" t="s">
        <v>657</v>
      </c>
      <c r="B31" s="47" t="s">
        <v>658</v>
      </c>
      <c r="C31" s="47" t="s">
        <v>659</v>
      </c>
      <c r="D31" s="47" t="s">
        <v>660</v>
      </c>
      <c r="E31" s="47" t="s">
        <v>661</v>
      </c>
      <c r="F31" s="47" t="s">
        <v>15</v>
      </c>
      <c r="G31" s="48">
        <v>1</v>
      </c>
      <c r="H31" s="82"/>
      <c r="I31" s="82"/>
      <c r="J31" s="47" t="s">
        <v>16</v>
      </c>
      <c r="K31" s="47"/>
      <c r="L31" s="47"/>
    </row>
    <row r="32" spans="1:12" ht="90" customHeight="1" thickBot="1" x14ac:dyDescent="0.35">
      <c r="A32" s="49" t="s">
        <v>662</v>
      </c>
      <c r="B32" s="49" t="s">
        <v>663</v>
      </c>
      <c r="C32" s="49" t="s">
        <v>664</v>
      </c>
      <c r="D32" s="49" t="s">
        <v>665</v>
      </c>
      <c r="E32" s="49" t="s">
        <v>666</v>
      </c>
      <c r="F32" s="49" t="s">
        <v>15</v>
      </c>
      <c r="G32" s="50">
        <v>1</v>
      </c>
      <c r="H32" s="82" t="s">
        <v>1009</v>
      </c>
      <c r="I32" s="83"/>
      <c r="J32" s="49" t="s">
        <v>16</v>
      </c>
      <c r="K32" s="49"/>
      <c r="L32" s="49"/>
    </row>
    <row r="33" spans="1:12" x14ac:dyDescent="0.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</row>
    <row r="34" spans="1:12" ht="28.05" customHeight="1" x14ac:dyDescent="0.3">
      <c r="A34" s="68" t="s">
        <v>667</v>
      </c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</row>
    <row r="35" spans="1:12" x14ac:dyDescent="0.3">
      <c r="A35" s="69" t="s">
        <v>668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</row>
    <row r="36" spans="1:12" x14ac:dyDescent="0.3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</row>
    <row r="37" spans="1:12" ht="15" thickBot="1" x14ac:dyDescent="0.35">
      <c r="A37" s="53" t="s">
        <v>0</v>
      </c>
      <c r="B37" s="53" t="s">
        <v>617</v>
      </c>
      <c r="C37" s="53" t="s">
        <v>4</v>
      </c>
      <c r="D37" s="53" t="s">
        <v>618</v>
      </c>
      <c r="E37" s="53" t="s">
        <v>619</v>
      </c>
      <c r="F37" s="53" t="s">
        <v>5</v>
      </c>
      <c r="G37" s="53" t="s">
        <v>301</v>
      </c>
      <c r="H37" s="53" t="s">
        <v>1006</v>
      </c>
      <c r="I37" s="53" t="s">
        <v>1007</v>
      </c>
      <c r="J37" s="53" t="s">
        <v>7</v>
      </c>
      <c r="K37" s="53" t="s">
        <v>8</v>
      </c>
      <c r="L37" s="53" t="s">
        <v>541</v>
      </c>
    </row>
    <row r="38" spans="1:12" ht="70.05" customHeight="1" thickBot="1" x14ac:dyDescent="0.35">
      <c r="A38" s="47" t="s">
        <v>669</v>
      </c>
      <c r="B38" s="47" t="s">
        <v>670</v>
      </c>
      <c r="C38" s="47" t="s">
        <v>671</v>
      </c>
      <c r="D38" s="47" t="s">
        <v>672</v>
      </c>
      <c r="E38" s="47" t="s">
        <v>673</v>
      </c>
      <c r="F38" s="47" t="s">
        <v>15</v>
      </c>
      <c r="G38" s="48">
        <v>1</v>
      </c>
      <c r="H38" s="82"/>
      <c r="I38" s="82"/>
      <c r="J38" s="47" t="s">
        <v>16</v>
      </c>
      <c r="K38" s="47"/>
      <c r="L38" s="47"/>
    </row>
    <row r="39" spans="1:12" ht="94.95" customHeight="1" thickBot="1" x14ac:dyDescent="0.35">
      <c r="A39" s="47" t="s">
        <v>674</v>
      </c>
      <c r="B39" s="47" t="s">
        <v>675</v>
      </c>
      <c r="C39" s="47" t="s">
        <v>676</v>
      </c>
      <c r="D39" s="47" t="s">
        <v>677</v>
      </c>
      <c r="E39" s="47" t="s">
        <v>678</v>
      </c>
      <c r="F39" s="47" t="s">
        <v>15</v>
      </c>
      <c r="G39" s="48">
        <v>1</v>
      </c>
      <c r="H39" s="82"/>
      <c r="I39" s="82"/>
      <c r="J39" s="47" t="s">
        <v>16</v>
      </c>
      <c r="K39" s="47"/>
      <c r="L39" s="47"/>
    </row>
    <row r="40" spans="1:12" ht="70.05" customHeight="1" thickBot="1" x14ac:dyDescent="0.35">
      <c r="A40" s="47" t="s">
        <v>679</v>
      </c>
      <c r="B40" s="47" t="s">
        <v>680</v>
      </c>
      <c r="C40" s="47" t="s">
        <v>681</v>
      </c>
      <c r="D40" s="47" t="s">
        <v>682</v>
      </c>
      <c r="E40" s="47" t="s">
        <v>683</v>
      </c>
      <c r="F40" s="47" t="s">
        <v>105</v>
      </c>
      <c r="G40" s="48">
        <v>1</v>
      </c>
      <c r="H40" s="82" t="s">
        <v>1009</v>
      </c>
      <c r="I40" s="82"/>
      <c r="J40" s="47" t="s">
        <v>16</v>
      </c>
      <c r="K40" s="47"/>
      <c r="L40" s="47"/>
    </row>
    <row r="41" spans="1:12" ht="64.95" customHeight="1" thickBot="1" x14ac:dyDescent="0.35">
      <c r="A41" s="47" t="s">
        <v>684</v>
      </c>
      <c r="B41" s="47" t="s">
        <v>685</v>
      </c>
      <c r="C41" s="47" t="s">
        <v>686</v>
      </c>
      <c r="D41" s="47" t="s">
        <v>687</v>
      </c>
      <c r="E41" s="47" t="s">
        <v>688</v>
      </c>
      <c r="F41" s="47" t="s">
        <v>105</v>
      </c>
      <c r="G41" s="48">
        <v>1</v>
      </c>
      <c r="H41" s="82"/>
      <c r="I41" s="82"/>
      <c r="J41" s="47" t="s">
        <v>16</v>
      </c>
      <c r="K41" s="47"/>
      <c r="L41" s="47"/>
    </row>
    <row r="42" spans="1:12" ht="64.95" customHeight="1" x14ac:dyDescent="0.3">
      <c r="A42" s="49" t="s">
        <v>689</v>
      </c>
      <c r="B42" s="49" t="s">
        <v>690</v>
      </c>
      <c r="C42" s="49" t="s">
        <v>691</v>
      </c>
      <c r="D42" s="49" t="s">
        <v>692</v>
      </c>
      <c r="E42" s="49" t="s">
        <v>693</v>
      </c>
      <c r="F42" s="49" t="s">
        <v>105</v>
      </c>
      <c r="G42" s="50">
        <v>1</v>
      </c>
      <c r="H42" s="83"/>
      <c r="I42" s="83"/>
      <c r="J42" s="49" t="s">
        <v>16</v>
      </c>
      <c r="K42" s="49"/>
      <c r="L42" s="49"/>
    </row>
    <row r="43" spans="1:12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5.05" customHeight="1" x14ac:dyDescent="0.3">
      <c r="A44" s="70" t="s">
        <v>694</v>
      </c>
      <c r="B44" s="70"/>
      <c r="C44" s="70"/>
      <c r="D44" s="70"/>
      <c r="E44" s="70"/>
      <c r="F44" s="70"/>
      <c r="G44" s="33"/>
      <c r="H44" s="33"/>
      <c r="I44" s="33"/>
      <c r="J44" s="33"/>
      <c r="K44" s="33"/>
      <c r="L44" s="33"/>
    </row>
    <row r="45" spans="1:12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</row>
    <row r="46" spans="1:12" x14ac:dyDescent="0.3">
      <c r="A46" s="36" t="s">
        <v>695</v>
      </c>
      <c r="B46" s="36" t="s">
        <v>696</v>
      </c>
      <c r="C46" s="36" t="s">
        <v>448</v>
      </c>
      <c r="D46" s="36" t="s">
        <v>5</v>
      </c>
      <c r="E46" s="36" t="s">
        <v>697</v>
      </c>
      <c r="F46" s="36" t="s">
        <v>698</v>
      </c>
      <c r="G46" s="33"/>
      <c r="H46" s="33"/>
      <c r="I46" s="33"/>
      <c r="J46" s="33"/>
      <c r="K46" s="33"/>
      <c r="L46" s="33"/>
    </row>
    <row r="47" spans="1:12" ht="43.2" x14ac:dyDescent="0.3">
      <c r="A47" s="37" t="s">
        <v>699</v>
      </c>
      <c r="B47" s="38" t="s">
        <v>700</v>
      </c>
      <c r="C47" s="38">
        <v>2</v>
      </c>
      <c r="D47" s="38" t="s">
        <v>15</v>
      </c>
      <c r="E47" s="38" t="s">
        <v>701</v>
      </c>
      <c r="F47" s="38" t="s">
        <v>702</v>
      </c>
      <c r="G47" s="33"/>
      <c r="H47" s="33"/>
      <c r="I47" s="33"/>
      <c r="J47" s="33"/>
      <c r="K47" s="33"/>
      <c r="L47" s="33"/>
    </row>
    <row r="48" spans="1:12" ht="43.2" x14ac:dyDescent="0.3">
      <c r="A48" s="39" t="s">
        <v>703</v>
      </c>
      <c r="B48" s="38" t="s">
        <v>704</v>
      </c>
      <c r="C48" s="38">
        <v>4</v>
      </c>
      <c r="D48" s="38" t="s">
        <v>15</v>
      </c>
      <c r="E48" s="38" t="s">
        <v>705</v>
      </c>
      <c r="F48" s="38" t="s">
        <v>706</v>
      </c>
      <c r="G48" s="33"/>
      <c r="H48" s="33"/>
      <c r="I48" s="33"/>
      <c r="J48" s="33"/>
      <c r="K48" s="33"/>
      <c r="L48" s="33"/>
    </row>
    <row r="49" spans="1:12" ht="43.2" x14ac:dyDescent="0.3">
      <c r="A49" s="40" t="s">
        <v>707</v>
      </c>
      <c r="B49" s="38" t="s">
        <v>708</v>
      </c>
      <c r="C49" s="38">
        <v>3</v>
      </c>
      <c r="D49" s="38" t="s">
        <v>15</v>
      </c>
      <c r="E49" s="38" t="s">
        <v>709</v>
      </c>
      <c r="F49" s="38" t="s">
        <v>710</v>
      </c>
      <c r="G49" s="33"/>
      <c r="H49" s="33"/>
      <c r="I49" s="33"/>
      <c r="J49" s="33"/>
      <c r="K49" s="33"/>
      <c r="L49" s="33"/>
    </row>
    <row r="50" spans="1:12" ht="28.8" x14ac:dyDescent="0.3">
      <c r="A50" s="41" t="s">
        <v>711</v>
      </c>
      <c r="B50" s="38" t="s">
        <v>712</v>
      </c>
      <c r="C50" s="38">
        <v>5</v>
      </c>
      <c r="D50" s="38" t="s">
        <v>449</v>
      </c>
      <c r="E50" s="38" t="s">
        <v>713</v>
      </c>
      <c r="F50" s="38" t="s">
        <v>714</v>
      </c>
      <c r="G50" s="33"/>
      <c r="H50" s="33"/>
      <c r="I50" s="33"/>
      <c r="J50" s="33"/>
      <c r="K50" s="33"/>
      <c r="L50" s="33"/>
    </row>
    <row r="51" spans="1:12" ht="15.6" x14ac:dyDescent="0.3">
      <c r="A51" s="42" t="s">
        <v>715</v>
      </c>
      <c r="B51" s="42"/>
      <c r="C51" s="43">
        <v>14</v>
      </c>
      <c r="D51" s="42"/>
      <c r="E51" s="42"/>
      <c r="F51" s="42"/>
      <c r="G51" s="33"/>
      <c r="H51" s="33"/>
      <c r="I51" s="33"/>
      <c r="J51" s="33"/>
      <c r="K51" s="33"/>
      <c r="L51" s="33"/>
    </row>
    <row r="52" spans="1:12" x14ac:dyDescent="0.3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15.6" x14ac:dyDescent="0.3">
      <c r="A53" s="58" t="s">
        <v>716</v>
      </c>
      <c r="B53" s="58"/>
      <c r="C53" s="58"/>
      <c r="D53" s="58"/>
      <c r="E53" s="33"/>
      <c r="F53" s="33"/>
      <c r="G53" s="33"/>
      <c r="H53" s="33"/>
      <c r="I53" s="33"/>
      <c r="J53" s="33"/>
      <c r="K53" s="33"/>
      <c r="L53" s="33"/>
    </row>
    <row r="54" spans="1:12" x14ac:dyDescent="0.3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x14ac:dyDescent="0.3">
      <c r="A55" s="44" t="s">
        <v>450</v>
      </c>
      <c r="B55" s="44" t="s">
        <v>451</v>
      </c>
      <c r="C55" s="44" t="s">
        <v>717</v>
      </c>
      <c r="D55" s="44" t="s">
        <v>7</v>
      </c>
      <c r="E55" s="33"/>
      <c r="F55" s="33"/>
      <c r="G55" s="33"/>
      <c r="H55" s="33"/>
      <c r="I55" s="33"/>
      <c r="J55" s="33"/>
      <c r="K55" s="33"/>
      <c r="L55" s="33"/>
    </row>
    <row r="56" spans="1:12" x14ac:dyDescent="0.3">
      <c r="A56" s="38" t="s">
        <v>452</v>
      </c>
      <c r="B56" s="38" t="s">
        <v>453</v>
      </c>
      <c r="C56" s="38" t="s">
        <v>718</v>
      </c>
      <c r="D56" s="38" t="s">
        <v>16</v>
      </c>
      <c r="E56" s="33"/>
      <c r="F56" s="33"/>
      <c r="G56" s="33"/>
      <c r="H56" s="33"/>
      <c r="I56" s="33"/>
      <c r="J56" s="33"/>
      <c r="K56" s="33"/>
      <c r="L56" s="33"/>
    </row>
    <row r="57" spans="1:12" ht="28.8" x14ac:dyDescent="0.3">
      <c r="A57" s="38" t="s">
        <v>719</v>
      </c>
      <c r="B57" s="38" t="s">
        <v>454</v>
      </c>
      <c r="C57" s="38" t="s">
        <v>718</v>
      </c>
      <c r="D57" s="38" t="s">
        <v>16</v>
      </c>
      <c r="E57" s="33"/>
      <c r="F57" s="33"/>
      <c r="G57" s="33"/>
      <c r="H57" s="33"/>
      <c r="I57" s="33"/>
      <c r="J57" s="33"/>
      <c r="K57" s="33"/>
      <c r="L57" s="33"/>
    </row>
    <row r="58" spans="1:12" ht="28.8" x14ac:dyDescent="0.3">
      <c r="A58" s="38" t="s">
        <v>720</v>
      </c>
      <c r="B58" s="38" t="s">
        <v>455</v>
      </c>
      <c r="C58" s="38" t="s">
        <v>718</v>
      </c>
      <c r="D58" s="38" t="s">
        <v>16</v>
      </c>
      <c r="E58" s="33"/>
      <c r="F58" s="33"/>
      <c r="G58" s="33"/>
      <c r="H58" s="33"/>
      <c r="I58" s="33"/>
      <c r="J58" s="33"/>
      <c r="K58" s="33"/>
      <c r="L58" s="33"/>
    </row>
    <row r="59" spans="1:12" x14ac:dyDescent="0.3">
      <c r="A59" s="38" t="s">
        <v>721</v>
      </c>
      <c r="B59" s="45">
        <v>1</v>
      </c>
      <c r="C59" s="38" t="s">
        <v>718</v>
      </c>
      <c r="D59" s="38" t="s">
        <v>16</v>
      </c>
      <c r="E59" s="33"/>
      <c r="F59" s="33"/>
      <c r="G59" s="33"/>
      <c r="H59" s="33"/>
      <c r="I59" s="33"/>
      <c r="J59" s="33"/>
      <c r="K59" s="33"/>
      <c r="L59" s="33"/>
    </row>
    <row r="60" spans="1:12" x14ac:dyDescent="0.3">
      <c r="A60" s="38" t="s">
        <v>456</v>
      </c>
      <c r="B60" s="45">
        <v>1</v>
      </c>
      <c r="C60" s="38" t="s">
        <v>718</v>
      </c>
      <c r="D60" s="38" t="s">
        <v>16</v>
      </c>
      <c r="E60" s="33"/>
      <c r="F60" s="33"/>
      <c r="G60" s="33"/>
      <c r="H60" s="33"/>
      <c r="I60" s="33"/>
      <c r="J60" s="33"/>
      <c r="K60" s="33"/>
      <c r="L60" s="33"/>
    </row>
    <row r="61" spans="1:12" x14ac:dyDescent="0.3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x14ac:dyDescent="0.3">
      <c r="A62" s="59" t="s">
        <v>722</v>
      </c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</row>
  </sheetData>
  <mergeCells count="14">
    <mergeCell ref="A53:D53"/>
    <mergeCell ref="A62:L62"/>
    <mergeCell ref="A1:L1"/>
    <mergeCell ref="A2:L2"/>
    <mergeCell ref="A10:L10"/>
    <mergeCell ref="A11:L11"/>
    <mergeCell ref="A17:L17"/>
    <mergeCell ref="A18:L18"/>
    <mergeCell ref="A26:L26"/>
    <mergeCell ref="A27:L27"/>
    <mergeCell ref="A34:L34"/>
    <mergeCell ref="A35:L35"/>
    <mergeCell ref="A44:F44"/>
    <mergeCell ref="A4:D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9D09B-1C9E-451F-9899-D917E15B9030}">
  <dimension ref="A1:U104"/>
  <sheetViews>
    <sheetView workbookViewId="0">
      <pane ySplit="4" topLeftCell="A91" activePane="bottomLeft" state="frozen"/>
      <selection activeCell="D1" sqref="D1"/>
      <selection pane="bottomLeft" activeCell="A2" sqref="A2:J2"/>
    </sheetView>
  </sheetViews>
  <sheetFormatPr defaultRowHeight="14.4" x14ac:dyDescent="0.3"/>
  <cols>
    <col min="1" max="1" width="14.77734375" customWidth="1"/>
    <col min="2" max="3" width="20.33203125" customWidth="1"/>
    <col min="4" max="4" width="33.33203125" customWidth="1"/>
    <col min="5" max="5" width="55.5546875" customWidth="1"/>
    <col min="6" max="6" width="13" customWidth="1"/>
    <col min="7" max="8" width="18.5546875" customWidth="1"/>
    <col min="9" max="9" width="14.77734375" customWidth="1"/>
    <col min="10" max="10" width="37" customWidth="1"/>
    <col min="11" max="11" width="51.88671875" customWidth="1"/>
    <col min="12" max="12" width="40.77734375" customWidth="1"/>
    <col min="13" max="13" width="37" customWidth="1"/>
    <col min="14" max="14" width="16.6640625" customWidth="1"/>
    <col min="16" max="16" width="18.5546875" customWidth="1"/>
    <col min="17" max="17" width="11.109375" customWidth="1"/>
    <col min="18" max="18" width="27.77734375" customWidth="1"/>
  </cols>
  <sheetData>
    <row r="1" spans="1:21" ht="34.950000000000003" customHeight="1" x14ac:dyDescent="0.4">
      <c r="A1" s="75" t="s">
        <v>1004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4" t="s">
        <v>378</v>
      </c>
      <c r="Q1" s="74"/>
      <c r="R1" s="74"/>
    </row>
    <row r="2" spans="1:21" ht="25.05" customHeight="1" x14ac:dyDescent="0.3">
      <c r="A2" s="73" t="s">
        <v>1005</v>
      </c>
      <c r="B2" s="73"/>
      <c r="C2" s="73"/>
      <c r="D2" s="73"/>
      <c r="E2" s="73"/>
      <c r="F2" s="73"/>
      <c r="G2" s="73"/>
      <c r="H2" s="73"/>
      <c r="I2" s="73"/>
      <c r="J2" s="73"/>
      <c r="L2" s="7" t="s">
        <v>359</v>
      </c>
      <c r="M2" s="11" t="s">
        <v>360</v>
      </c>
      <c r="N2" s="11" t="s">
        <v>361</v>
      </c>
      <c r="P2" s="7" t="s">
        <v>379</v>
      </c>
      <c r="Q2" s="7" t="s">
        <v>380</v>
      </c>
      <c r="R2" s="7" t="s">
        <v>4</v>
      </c>
    </row>
    <row r="3" spans="1:21" x14ac:dyDescent="0.3">
      <c r="L3" s="8" t="s">
        <v>362</v>
      </c>
      <c r="M3" s="12">
        <f>COUNTA(A5:A104)</f>
        <v>100</v>
      </c>
      <c r="N3" s="12"/>
      <c r="P3" s="9" t="s">
        <v>381</v>
      </c>
      <c r="Q3" s="13">
        <v>1</v>
      </c>
      <c r="R3" s="9" t="s">
        <v>382</v>
      </c>
    </row>
    <row r="4" spans="1:21" ht="15" thickBot="1" x14ac:dyDescent="0.35">
      <c r="A4" s="24" t="s">
        <v>0</v>
      </c>
      <c r="B4" s="25" t="s">
        <v>1</v>
      </c>
      <c r="C4" s="25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6" t="s">
        <v>9</v>
      </c>
      <c r="K4" s="54" t="s">
        <v>723</v>
      </c>
      <c r="L4" s="54" t="s">
        <v>618</v>
      </c>
      <c r="M4" s="54" t="s">
        <v>924</v>
      </c>
      <c r="O4" s="9" t="s">
        <v>363</v>
      </c>
      <c r="P4" s="13">
        <f>COUNTIF(F5:F104,"P1")</f>
        <v>64</v>
      </c>
      <c r="Q4" s="14">
        <f>P4/M3*100</f>
        <v>64</v>
      </c>
      <c r="S4" s="9" t="s">
        <v>231</v>
      </c>
      <c r="T4" s="13">
        <v>1</v>
      </c>
      <c r="U4" s="9" t="s">
        <v>383</v>
      </c>
    </row>
    <row r="5" spans="1:21" ht="58.8" thickTop="1" thickBot="1" x14ac:dyDescent="0.35">
      <c r="A5" s="20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3" t="s">
        <v>15</v>
      </c>
      <c r="G5" s="5">
        <v>1</v>
      </c>
      <c r="H5" s="3" t="s">
        <v>16</v>
      </c>
      <c r="I5" s="3"/>
      <c r="J5" s="22"/>
      <c r="K5" s="55" t="s">
        <v>724</v>
      </c>
      <c r="L5" s="55" t="s">
        <v>824</v>
      </c>
      <c r="M5" s="55" t="s">
        <v>925</v>
      </c>
      <c r="O5" s="9" t="s">
        <v>364</v>
      </c>
      <c r="P5" s="13">
        <f>COUNTIF(F5:F104,"P2")</f>
        <v>33</v>
      </c>
      <c r="Q5" s="14">
        <f>P5/M3*100</f>
        <v>33</v>
      </c>
      <c r="S5" s="9" t="s">
        <v>384</v>
      </c>
      <c r="T5" s="13">
        <v>32</v>
      </c>
      <c r="U5" s="9" t="s">
        <v>385</v>
      </c>
    </row>
    <row r="6" spans="1:21" ht="58.8" thickTop="1" thickBot="1" x14ac:dyDescent="0.35">
      <c r="A6" s="21" t="s">
        <v>17</v>
      </c>
      <c r="B6" s="2" t="s">
        <v>11</v>
      </c>
      <c r="C6" s="2" t="s">
        <v>12</v>
      </c>
      <c r="D6" s="2" t="s">
        <v>18</v>
      </c>
      <c r="E6" s="2" t="s">
        <v>19</v>
      </c>
      <c r="F6" s="4" t="s">
        <v>15</v>
      </c>
      <c r="G6" s="6">
        <v>1</v>
      </c>
      <c r="H6" s="4" t="s">
        <v>16</v>
      </c>
      <c r="I6" s="4"/>
      <c r="J6" s="23"/>
      <c r="K6" s="56" t="s">
        <v>725</v>
      </c>
      <c r="L6" s="56" t="s">
        <v>825</v>
      </c>
      <c r="M6" s="56" t="s">
        <v>926</v>
      </c>
      <c r="O6" s="9" t="s">
        <v>365</v>
      </c>
      <c r="P6" s="13">
        <f>COUNTIF(F5:F104,"P3")</f>
        <v>3</v>
      </c>
      <c r="Q6" s="14">
        <f>P6/M3*100</f>
        <v>3</v>
      </c>
      <c r="S6" s="9" t="s">
        <v>76</v>
      </c>
      <c r="T6" s="13">
        <v>2</v>
      </c>
      <c r="U6" s="9" t="s">
        <v>386</v>
      </c>
    </row>
    <row r="7" spans="1:21" ht="58.8" thickTop="1" thickBot="1" x14ac:dyDescent="0.35">
      <c r="A7" s="20" t="s">
        <v>20</v>
      </c>
      <c r="B7" s="1" t="s">
        <v>11</v>
      </c>
      <c r="C7" s="1" t="s">
        <v>12</v>
      </c>
      <c r="D7" s="1" t="s">
        <v>21</v>
      </c>
      <c r="E7" s="1" t="s">
        <v>22</v>
      </c>
      <c r="F7" s="3" t="s">
        <v>15</v>
      </c>
      <c r="G7" s="5">
        <v>1</v>
      </c>
      <c r="H7" s="3" t="s">
        <v>16</v>
      </c>
      <c r="I7" s="3"/>
      <c r="J7" s="22"/>
      <c r="K7" s="56" t="s">
        <v>726</v>
      </c>
      <c r="L7" s="56" t="s">
        <v>826</v>
      </c>
      <c r="M7" s="56" t="s">
        <v>925</v>
      </c>
      <c r="O7" s="9"/>
      <c r="P7" s="13"/>
      <c r="Q7" s="13"/>
      <c r="S7" s="9" t="s">
        <v>387</v>
      </c>
      <c r="T7" s="13">
        <v>1</v>
      </c>
      <c r="U7" s="9" t="s">
        <v>388</v>
      </c>
    </row>
    <row r="8" spans="1:21" ht="58.8" thickTop="1" thickBot="1" x14ac:dyDescent="0.35">
      <c r="A8" s="21" t="s">
        <v>23</v>
      </c>
      <c r="B8" s="2" t="s">
        <v>11</v>
      </c>
      <c r="C8" s="2" t="s">
        <v>12</v>
      </c>
      <c r="D8" s="2" t="s">
        <v>24</v>
      </c>
      <c r="E8" s="2" t="s">
        <v>25</v>
      </c>
      <c r="F8" s="4" t="s">
        <v>15</v>
      </c>
      <c r="G8" s="6">
        <v>1</v>
      </c>
      <c r="H8" s="4" t="s">
        <v>16</v>
      </c>
      <c r="I8" s="4"/>
      <c r="J8" s="23"/>
      <c r="K8" s="56" t="s">
        <v>727</v>
      </c>
      <c r="L8" s="56" t="s">
        <v>827</v>
      </c>
      <c r="M8" s="56" t="s">
        <v>926</v>
      </c>
      <c r="O8" s="10" t="s">
        <v>366</v>
      </c>
      <c r="P8" s="15"/>
      <c r="Q8" s="15"/>
      <c r="S8" s="9" t="s">
        <v>389</v>
      </c>
      <c r="T8" s="13">
        <v>3</v>
      </c>
      <c r="U8" s="9" t="s">
        <v>390</v>
      </c>
    </row>
    <row r="9" spans="1:21" ht="58.8" thickTop="1" thickBot="1" x14ac:dyDescent="0.35">
      <c r="A9" s="20" t="s">
        <v>26</v>
      </c>
      <c r="B9" s="1" t="s">
        <v>11</v>
      </c>
      <c r="C9" s="1" t="s">
        <v>12</v>
      </c>
      <c r="D9" s="1" t="s">
        <v>27</v>
      </c>
      <c r="E9" s="1" t="s">
        <v>28</v>
      </c>
      <c r="F9" s="3" t="s">
        <v>15</v>
      </c>
      <c r="G9" s="5">
        <v>1</v>
      </c>
      <c r="H9" s="3" t="s">
        <v>16</v>
      </c>
      <c r="I9" s="3"/>
      <c r="J9" s="22"/>
      <c r="K9" s="56" t="s">
        <v>728</v>
      </c>
      <c r="L9" s="56" t="s">
        <v>828</v>
      </c>
      <c r="M9" s="56" t="s">
        <v>925</v>
      </c>
      <c r="O9" s="9" t="s">
        <v>16</v>
      </c>
      <c r="P9" s="13">
        <f>COUNTIF(H5:H104,"Not Started")</f>
        <v>100</v>
      </c>
      <c r="Q9" s="14">
        <f>P9/M3*100</f>
        <v>100</v>
      </c>
      <c r="S9" s="9" t="s">
        <v>391</v>
      </c>
      <c r="T9" s="13">
        <v>3</v>
      </c>
      <c r="U9" s="9" t="s">
        <v>392</v>
      </c>
    </row>
    <row r="10" spans="1:21" ht="58.8" thickTop="1" thickBot="1" x14ac:dyDescent="0.35">
      <c r="A10" s="21" t="s">
        <v>29</v>
      </c>
      <c r="B10" s="2" t="s">
        <v>11</v>
      </c>
      <c r="C10" s="2" t="s">
        <v>12</v>
      </c>
      <c r="D10" s="2" t="s">
        <v>30</v>
      </c>
      <c r="E10" s="2" t="s">
        <v>31</v>
      </c>
      <c r="F10" s="4" t="s">
        <v>15</v>
      </c>
      <c r="G10" s="6">
        <v>1</v>
      </c>
      <c r="H10" s="4" t="s">
        <v>16</v>
      </c>
      <c r="I10" s="4"/>
      <c r="J10" s="23"/>
      <c r="K10" s="56" t="s">
        <v>729</v>
      </c>
      <c r="L10" s="56" t="s">
        <v>829</v>
      </c>
      <c r="M10" s="56" t="s">
        <v>926</v>
      </c>
      <c r="O10" s="9" t="s">
        <v>367</v>
      </c>
      <c r="P10" s="13">
        <f>COUNTIF(H5:H104,"In Progress")</f>
        <v>0</v>
      </c>
      <c r="Q10" s="14">
        <f>P10/M3*100</f>
        <v>0</v>
      </c>
      <c r="S10" s="9" t="s">
        <v>183</v>
      </c>
      <c r="T10" s="13">
        <v>4</v>
      </c>
      <c r="U10" s="9" t="s">
        <v>393</v>
      </c>
    </row>
    <row r="11" spans="1:21" ht="58.8" thickTop="1" thickBot="1" x14ac:dyDescent="0.35">
      <c r="A11" s="20" t="s">
        <v>32</v>
      </c>
      <c r="B11" s="1" t="s">
        <v>33</v>
      </c>
      <c r="C11" s="1" t="s">
        <v>34</v>
      </c>
      <c r="D11" s="1" t="s">
        <v>35</v>
      </c>
      <c r="E11" s="1" t="s">
        <v>36</v>
      </c>
      <c r="F11" s="3" t="s">
        <v>15</v>
      </c>
      <c r="G11" s="5">
        <v>1</v>
      </c>
      <c r="H11" s="3" t="s">
        <v>16</v>
      </c>
      <c r="I11" s="3"/>
      <c r="J11" s="22"/>
      <c r="K11" s="56" t="s">
        <v>730</v>
      </c>
      <c r="L11" s="56" t="s">
        <v>830</v>
      </c>
      <c r="M11" s="56" t="s">
        <v>925</v>
      </c>
      <c r="O11" s="9" t="s">
        <v>368</v>
      </c>
      <c r="P11" s="13">
        <f>COUNTIF(H5:H104,"Completed")</f>
        <v>0</v>
      </c>
      <c r="Q11" s="14">
        <f>P11/M3*100</f>
        <v>0</v>
      </c>
      <c r="S11" s="9" t="s">
        <v>394</v>
      </c>
      <c r="T11" s="13">
        <v>32</v>
      </c>
      <c r="U11" s="9" t="s">
        <v>395</v>
      </c>
    </row>
    <row r="12" spans="1:21" ht="58.8" thickTop="1" thickBot="1" x14ac:dyDescent="0.35">
      <c r="A12" s="21" t="s">
        <v>37</v>
      </c>
      <c r="B12" s="2" t="s">
        <v>33</v>
      </c>
      <c r="C12" s="2" t="s">
        <v>34</v>
      </c>
      <c r="D12" s="2" t="s">
        <v>38</v>
      </c>
      <c r="E12" s="2" t="s">
        <v>39</v>
      </c>
      <c r="F12" s="4" t="s">
        <v>15</v>
      </c>
      <c r="G12" s="6">
        <v>1</v>
      </c>
      <c r="H12" s="4" t="s">
        <v>16</v>
      </c>
      <c r="I12" s="4"/>
      <c r="J12" s="23"/>
      <c r="K12" s="56" t="s">
        <v>731</v>
      </c>
      <c r="L12" s="56" t="s">
        <v>831</v>
      </c>
      <c r="M12" s="56" t="s">
        <v>926</v>
      </c>
      <c r="O12" s="9" t="s">
        <v>369</v>
      </c>
      <c r="P12" s="13">
        <f>COUNTIF(H5:H104,"Blocked")</f>
        <v>0</v>
      </c>
      <c r="Q12" s="14">
        <f>P12/M3*100</f>
        <v>0</v>
      </c>
      <c r="S12" s="9" t="s">
        <v>396</v>
      </c>
      <c r="T12" s="13">
        <v>32</v>
      </c>
      <c r="U12" s="9" t="s">
        <v>397</v>
      </c>
    </row>
    <row r="13" spans="1:21" ht="58.8" thickTop="1" thickBot="1" x14ac:dyDescent="0.35">
      <c r="A13" s="20" t="s">
        <v>40</v>
      </c>
      <c r="B13" s="1" t="s">
        <v>33</v>
      </c>
      <c r="C13" s="1" t="s">
        <v>34</v>
      </c>
      <c r="D13" s="1" t="s">
        <v>41</v>
      </c>
      <c r="E13" s="1" t="s">
        <v>42</v>
      </c>
      <c r="F13" s="3" t="s">
        <v>15</v>
      </c>
      <c r="G13" s="5">
        <v>1</v>
      </c>
      <c r="H13" s="3" t="s">
        <v>16</v>
      </c>
      <c r="I13" s="3"/>
      <c r="J13" s="22"/>
      <c r="K13" s="56" t="s">
        <v>732</v>
      </c>
      <c r="L13" s="56" t="s">
        <v>832</v>
      </c>
      <c r="M13" s="56" t="s">
        <v>925</v>
      </c>
      <c r="O13" s="9" t="s">
        <v>370</v>
      </c>
      <c r="P13" s="13">
        <f>COUNTIF(H5:H104,"Deferred")</f>
        <v>0</v>
      </c>
      <c r="Q13" s="14">
        <f>P13/M3*100</f>
        <v>0</v>
      </c>
      <c r="S13" s="9" t="s">
        <v>93</v>
      </c>
      <c r="T13" s="13">
        <v>1</v>
      </c>
      <c r="U13" s="9" t="s">
        <v>398</v>
      </c>
    </row>
    <row r="14" spans="1:21" ht="58.8" thickTop="1" thickBot="1" x14ac:dyDescent="0.35">
      <c r="A14" s="21" t="s">
        <v>43</v>
      </c>
      <c r="B14" s="2" t="s">
        <v>33</v>
      </c>
      <c r="C14" s="2" t="s">
        <v>34</v>
      </c>
      <c r="D14" s="2" t="s">
        <v>44</v>
      </c>
      <c r="E14" s="2" t="s">
        <v>45</v>
      </c>
      <c r="F14" s="4" t="s">
        <v>15</v>
      </c>
      <c r="G14" s="6">
        <v>1</v>
      </c>
      <c r="H14" s="4" t="s">
        <v>16</v>
      </c>
      <c r="I14" s="4"/>
      <c r="J14" s="23"/>
      <c r="K14" s="56" t="s">
        <v>733</v>
      </c>
      <c r="L14" s="56" t="s">
        <v>833</v>
      </c>
      <c r="M14" s="56" t="s">
        <v>926</v>
      </c>
      <c r="O14" s="9"/>
      <c r="P14" s="13"/>
      <c r="Q14" s="13"/>
      <c r="S14" s="9" t="s">
        <v>114</v>
      </c>
      <c r="T14" s="19">
        <v>46024</v>
      </c>
      <c r="U14" s="9" t="s">
        <v>399</v>
      </c>
    </row>
    <row r="15" spans="1:21" ht="58.8" thickTop="1" thickBot="1" x14ac:dyDescent="0.35">
      <c r="A15" s="20" t="s">
        <v>46</v>
      </c>
      <c r="B15" s="1" t="s">
        <v>33</v>
      </c>
      <c r="C15" s="1" t="s">
        <v>34</v>
      </c>
      <c r="D15" s="1" t="s">
        <v>47</v>
      </c>
      <c r="E15" s="1" t="s">
        <v>48</v>
      </c>
      <c r="F15" s="3" t="s">
        <v>15</v>
      </c>
      <c r="G15" s="5">
        <v>1</v>
      </c>
      <c r="H15" s="3" t="s">
        <v>16</v>
      </c>
      <c r="I15" s="3"/>
      <c r="J15" s="22"/>
      <c r="K15" s="56" t="s">
        <v>734</v>
      </c>
      <c r="L15" s="56" t="s">
        <v>834</v>
      </c>
      <c r="M15" s="56" t="s">
        <v>925</v>
      </c>
      <c r="O15" s="10" t="s">
        <v>371</v>
      </c>
      <c r="P15" s="15"/>
      <c r="Q15" s="15"/>
      <c r="S15" s="9" t="s">
        <v>400</v>
      </c>
      <c r="T15" s="13">
        <v>1</v>
      </c>
      <c r="U15" s="9" t="s">
        <v>401</v>
      </c>
    </row>
    <row r="16" spans="1:21" ht="58.8" thickTop="1" thickBot="1" x14ac:dyDescent="0.35">
      <c r="A16" s="21" t="s">
        <v>49</v>
      </c>
      <c r="B16" s="2" t="s">
        <v>33</v>
      </c>
      <c r="C16" s="2" t="s">
        <v>34</v>
      </c>
      <c r="D16" s="2" t="s">
        <v>50</v>
      </c>
      <c r="E16" s="2" t="s">
        <v>51</v>
      </c>
      <c r="F16" s="4" t="s">
        <v>15</v>
      </c>
      <c r="G16" s="6">
        <v>1</v>
      </c>
      <c r="H16" s="4" t="s">
        <v>16</v>
      </c>
      <c r="I16" s="4"/>
      <c r="J16" s="23"/>
      <c r="K16" s="56" t="s">
        <v>735</v>
      </c>
      <c r="L16" s="56" t="s">
        <v>835</v>
      </c>
      <c r="M16" s="56" t="s">
        <v>926</v>
      </c>
      <c r="O16" s="9" t="s">
        <v>372</v>
      </c>
      <c r="P16" s="13">
        <f>COUNTIF(I5:I104,"Pass")</f>
        <v>0</v>
      </c>
      <c r="Q16" s="14">
        <f>P16/M3*100</f>
        <v>0</v>
      </c>
      <c r="S16" s="9" t="s">
        <v>206</v>
      </c>
      <c r="T16" s="13">
        <v>1</v>
      </c>
      <c r="U16" s="9" t="s">
        <v>402</v>
      </c>
    </row>
    <row r="17" spans="1:21" ht="58.8" thickTop="1" thickBot="1" x14ac:dyDescent="0.35">
      <c r="A17" s="20" t="s">
        <v>52</v>
      </c>
      <c r="B17" s="1" t="s">
        <v>33</v>
      </c>
      <c r="C17" s="1" t="s">
        <v>34</v>
      </c>
      <c r="D17" s="1" t="s">
        <v>53</v>
      </c>
      <c r="E17" s="1" t="s">
        <v>54</v>
      </c>
      <c r="F17" s="3" t="s">
        <v>15</v>
      </c>
      <c r="G17" s="5">
        <v>1</v>
      </c>
      <c r="H17" s="3" t="s">
        <v>16</v>
      </c>
      <c r="I17" s="3"/>
      <c r="J17" s="22"/>
      <c r="K17" s="56" t="s">
        <v>736</v>
      </c>
      <c r="L17" s="56" t="s">
        <v>836</v>
      </c>
      <c r="M17" s="56" t="s">
        <v>927</v>
      </c>
      <c r="O17" s="9" t="s">
        <v>373</v>
      </c>
      <c r="P17" s="13">
        <f>COUNTIF(I5:I104,"Fail")</f>
        <v>0</v>
      </c>
      <c r="Q17" s="14">
        <f>P17/M3*100</f>
        <v>0</v>
      </c>
    </row>
    <row r="18" spans="1:21" ht="58.8" thickTop="1" thickBot="1" x14ac:dyDescent="0.35">
      <c r="A18" s="21" t="s">
        <v>55</v>
      </c>
      <c r="B18" s="2" t="s">
        <v>33</v>
      </c>
      <c r="C18" s="2" t="s">
        <v>56</v>
      </c>
      <c r="D18" s="2" t="s">
        <v>57</v>
      </c>
      <c r="E18" s="2" t="s">
        <v>58</v>
      </c>
      <c r="F18" s="4" t="s">
        <v>15</v>
      </c>
      <c r="G18" s="6">
        <v>1</v>
      </c>
      <c r="H18" s="4" t="s">
        <v>16</v>
      </c>
      <c r="I18" s="4"/>
      <c r="J18" s="23"/>
      <c r="K18" s="56" t="s">
        <v>737</v>
      </c>
      <c r="L18" s="56" t="s">
        <v>837</v>
      </c>
      <c r="M18" s="56" t="s">
        <v>925</v>
      </c>
      <c r="O18" s="9" t="s">
        <v>374</v>
      </c>
      <c r="P18" s="13">
        <f>COUNTIF(I5:I104,"N/A")</f>
        <v>0</v>
      </c>
      <c r="Q18" s="14">
        <f>P18/M3*100</f>
        <v>0</v>
      </c>
      <c r="S18" s="72" t="s">
        <v>403</v>
      </c>
      <c r="T18" s="72"/>
      <c r="U18" s="72"/>
    </row>
    <row r="19" spans="1:21" ht="58.8" thickTop="1" thickBot="1" x14ac:dyDescent="0.35">
      <c r="A19" s="20" t="s">
        <v>59</v>
      </c>
      <c r="B19" s="1" t="s">
        <v>33</v>
      </c>
      <c r="C19" s="1" t="s">
        <v>56</v>
      </c>
      <c r="D19" s="1" t="s">
        <v>60</v>
      </c>
      <c r="E19" s="1" t="s">
        <v>61</v>
      </c>
      <c r="F19" s="3" t="s">
        <v>15</v>
      </c>
      <c r="G19" s="5">
        <v>1</v>
      </c>
      <c r="H19" s="3" t="s">
        <v>16</v>
      </c>
      <c r="I19" s="3"/>
      <c r="J19" s="22"/>
      <c r="K19" s="56" t="s">
        <v>738</v>
      </c>
      <c r="L19" s="56" t="s">
        <v>838</v>
      </c>
      <c r="M19" s="56" t="s">
        <v>926</v>
      </c>
      <c r="O19" s="9" t="s">
        <v>375</v>
      </c>
      <c r="P19" s="13">
        <f>M3-P16-P17-P18</f>
        <v>100</v>
      </c>
      <c r="Q19" s="14">
        <f>P19/M3*100</f>
        <v>100</v>
      </c>
      <c r="S19" s="10" t="s">
        <v>404</v>
      </c>
      <c r="T19" s="10" t="s">
        <v>405</v>
      </c>
      <c r="U19" s="10" t="s">
        <v>4</v>
      </c>
    </row>
    <row r="20" spans="1:21" ht="58.8" thickTop="1" thickBot="1" x14ac:dyDescent="0.35">
      <c r="A20" s="21" t="s">
        <v>62</v>
      </c>
      <c r="B20" s="2" t="s">
        <v>33</v>
      </c>
      <c r="C20" s="2" t="s">
        <v>56</v>
      </c>
      <c r="D20" s="2" t="s">
        <v>63</v>
      </c>
      <c r="E20" s="2" t="s">
        <v>64</v>
      </c>
      <c r="F20" s="4" t="s">
        <v>15</v>
      </c>
      <c r="G20" s="6">
        <v>1</v>
      </c>
      <c r="H20" s="4" t="s">
        <v>16</v>
      </c>
      <c r="I20" s="4"/>
      <c r="J20" s="23"/>
      <c r="K20" s="56" t="s">
        <v>739</v>
      </c>
      <c r="L20" s="56" t="s">
        <v>839</v>
      </c>
      <c r="M20" s="56" t="s">
        <v>925</v>
      </c>
      <c r="S20" s="13">
        <v>0</v>
      </c>
      <c r="T20" s="9" t="s">
        <v>406</v>
      </c>
      <c r="U20" s="9" t="s">
        <v>407</v>
      </c>
    </row>
    <row r="21" spans="1:21" ht="58.8" thickTop="1" thickBot="1" x14ac:dyDescent="0.35">
      <c r="A21" s="20" t="s">
        <v>65</v>
      </c>
      <c r="B21" s="1" t="s">
        <v>33</v>
      </c>
      <c r="C21" s="1" t="s">
        <v>56</v>
      </c>
      <c r="D21" s="1" t="s">
        <v>66</v>
      </c>
      <c r="E21" s="1" t="s">
        <v>67</v>
      </c>
      <c r="F21" s="3" t="s">
        <v>15</v>
      </c>
      <c r="G21" s="5">
        <v>1</v>
      </c>
      <c r="H21" s="3" t="s">
        <v>16</v>
      </c>
      <c r="I21" s="3"/>
      <c r="J21" s="22"/>
      <c r="K21" s="56" t="s">
        <v>740</v>
      </c>
      <c r="L21" s="56" t="s">
        <v>840</v>
      </c>
      <c r="M21" s="56" t="s">
        <v>926</v>
      </c>
      <c r="O21" s="74" t="s">
        <v>376</v>
      </c>
      <c r="P21" s="74"/>
      <c r="Q21" s="74"/>
      <c r="S21" s="13">
        <v>1</v>
      </c>
      <c r="T21" s="9" t="s">
        <v>408</v>
      </c>
      <c r="U21" s="9" t="s">
        <v>409</v>
      </c>
    </row>
    <row r="22" spans="1:21" ht="58.8" thickTop="1" thickBot="1" x14ac:dyDescent="0.35">
      <c r="A22" s="21" t="s">
        <v>68</v>
      </c>
      <c r="B22" s="2" t="s">
        <v>33</v>
      </c>
      <c r="C22" s="2" t="s">
        <v>56</v>
      </c>
      <c r="D22" s="2" t="s">
        <v>69</v>
      </c>
      <c r="E22" s="2" t="s">
        <v>70</v>
      </c>
      <c r="F22" s="4" t="s">
        <v>15</v>
      </c>
      <c r="G22" s="6">
        <v>1</v>
      </c>
      <c r="H22" s="4" t="s">
        <v>16</v>
      </c>
      <c r="I22" s="4"/>
      <c r="J22" s="23"/>
      <c r="K22" s="56" t="s">
        <v>741</v>
      </c>
      <c r="L22" s="56" t="s">
        <v>841</v>
      </c>
      <c r="M22" s="56" t="s">
        <v>925</v>
      </c>
      <c r="O22" s="7" t="s">
        <v>1</v>
      </c>
      <c r="P22" s="11" t="s">
        <v>360</v>
      </c>
      <c r="Q22" s="11" t="s">
        <v>377</v>
      </c>
      <c r="S22" s="13">
        <v>10</v>
      </c>
      <c r="T22" s="9" t="s">
        <v>410</v>
      </c>
      <c r="U22" s="9" t="s">
        <v>411</v>
      </c>
    </row>
    <row r="23" spans="1:21" ht="58.8" thickTop="1" thickBot="1" x14ac:dyDescent="0.35">
      <c r="A23" s="20" t="s">
        <v>71</v>
      </c>
      <c r="B23" s="1" t="s">
        <v>33</v>
      </c>
      <c r="C23" s="1" t="s">
        <v>56</v>
      </c>
      <c r="D23" s="1" t="s">
        <v>72</v>
      </c>
      <c r="E23" s="1" t="s">
        <v>73</v>
      </c>
      <c r="F23" s="3" t="s">
        <v>15</v>
      </c>
      <c r="G23" s="5">
        <v>1</v>
      </c>
      <c r="H23" s="3" t="s">
        <v>16</v>
      </c>
      <c r="I23" s="3"/>
      <c r="J23" s="22"/>
      <c r="K23" s="56" t="s">
        <v>742</v>
      </c>
      <c r="L23" s="56" t="s">
        <v>842</v>
      </c>
      <c r="M23" s="56" t="s">
        <v>926</v>
      </c>
      <c r="O23" s="9" t="s">
        <v>11</v>
      </c>
      <c r="P23" s="13">
        <f>COUNTIF(B5:B104,"Basic Transfer")</f>
        <v>6</v>
      </c>
      <c r="Q23" s="14">
        <f>P23/M3*100</f>
        <v>6</v>
      </c>
      <c r="S23" s="13">
        <v>11</v>
      </c>
      <c r="T23" s="9" t="s">
        <v>412</v>
      </c>
      <c r="U23" s="9" t="s">
        <v>413</v>
      </c>
    </row>
    <row r="24" spans="1:21" ht="58.8" thickTop="1" thickBot="1" x14ac:dyDescent="0.35">
      <c r="A24" s="21" t="s">
        <v>74</v>
      </c>
      <c r="B24" s="2" t="s">
        <v>75</v>
      </c>
      <c r="C24" s="2" t="s">
        <v>76</v>
      </c>
      <c r="D24" s="2" t="s">
        <v>77</v>
      </c>
      <c r="E24" s="2" t="s">
        <v>78</v>
      </c>
      <c r="F24" s="4" t="s">
        <v>15</v>
      </c>
      <c r="G24" s="6">
        <v>1</v>
      </c>
      <c r="H24" s="4" t="s">
        <v>16</v>
      </c>
      <c r="I24" s="4"/>
      <c r="J24" s="23"/>
      <c r="K24" s="56" t="s">
        <v>743</v>
      </c>
      <c r="L24" s="56" t="s">
        <v>843</v>
      </c>
      <c r="M24" s="56" t="s">
        <v>627</v>
      </c>
      <c r="O24" s="16" t="s">
        <v>33</v>
      </c>
      <c r="P24" s="17">
        <f>COUNTIF(B5:B104,"Burst Transfer")</f>
        <v>13</v>
      </c>
      <c r="Q24" s="18">
        <f>P24/M3*100</f>
        <v>13</v>
      </c>
    </row>
    <row r="25" spans="1:21" ht="58.8" thickTop="1" thickBot="1" x14ac:dyDescent="0.35">
      <c r="A25" s="20" t="s">
        <v>79</v>
      </c>
      <c r="B25" s="1" t="s">
        <v>75</v>
      </c>
      <c r="C25" s="1" t="s">
        <v>76</v>
      </c>
      <c r="D25" s="1" t="s">
        <v>80</v>
      </c>
      <c r="E25" s="1" t="s">
        <v>81</v>
      </c>
      <c r="F25" s="3" t="s">
        <v>15</v>
      </c>
      <c r="G25" s="5">
        <v>1</v>
      </c>
      <c r="H25" s="3" t="s">
        <v>16</v>
      </c>
      <c r="I25" s="3"/>
      <c r="J25" s="22"/>
      <c r="K25" s="56" t="s">
        <v>744</v>
      </c>
      <c r="L25" s="56" t="s">
        <v>844</v>
      </c>
      <c r="M25" s="56" t="s">
        <v>928</v>
      </c>
      <c r="O25" s="9" t="s">
        <v>75</v>
      </c>
      <c r="P25" s="13">
        <f>COUNTIF(B5:B104,"Transfer Type")</f>
        <v>5</v>
      </c>
      <c r="Q25" s="14">
        <f>P25/M3*100</f>
        <v>5</v>
      </c>
      <c r="S25" s="72" t="s">
        <v>414</v>
      </c>
      <c r="T25" s="72"/>
      <c r="U25" s="72"/>
    </row>
    <row r="26" spans="1:21" ht="58.8" thickTop="1" thickBot="1" x14ac:dyDescent="0.35">
      <c r="A26" s="21" t="s">
        <v>82</v>
      </c>
      <c r="B26" s="2" t="s">
        <v>75</v>
      </c>
      <c r="C26" s="2" t="s">
        <v>76</v>
      </c>
      <c r="D26" s="2" t="s">
        <v>83</v>
      </c>
      <c r="E26" s="2" t="s">
        <v>84</v>
      </c>
      <c r="F26" s="4" t="s">
        <v>15</v>
      </c>
      <c r="G26" s="6">
        <v>1</v>
      </c>
      <c r="H26" s="4" t="s">
        <v>16</v>
      </c>
      <c r="I26" s="4"/>
      <c r="J26" s="23"/>
      <c r="K26" s="56" t="s">
        <v>745</v>
      </c>
      <c r="L26" s="56" t="s">
        <v>845</v>
      </c>
      <c r="M26" s="56" t="s">
        <v>929</v>
      </c>
      <c r="O26" s="16" t="s">
        <v>92</v>
      </c>
      <c r="P26" s="17">
        <f>COUNTIF(B5:B104,"Wait States")</f>
        <v>6</v>
      </c>
      <c r="Q26" s="18">
        <f>P26/M3*100</f>
        <v>6</v>
      </c>
      <c r="S26" s="10" t="s">
        <v>404</v>
      </c>
      <c r="T26" s="10" t="s">
        <v>405</v>
      </c>
      <c r="U26" s="10" t="s">
        <v>415</v>
      </c>
    </row>
    <row r="27" spans="1:21" ht="58.8" thickTop="1" thickBot="1" x14ac:dyDescent="0.35">
      <c r="A27" s="20" t="s">
        <v>85</v>
      </c>
      <c r="B27" s="1" t="s">
        <v>75</v>
      </c>
      <c r="C27" s="1" t="s">
        <v>76</v>
      </c>
      <c r="D27" s="1" t="s">
        <v>86</v>
      </c>
      <c r="E27" s="1" t="s">
        <v>87</v>
      </c>
      <c r="F27" s="3" t="s">
        <v>15</v>
      </c>
      <c r="G27" s="5">
        <v>1</v>
      </c>
      <c r="H27" s="3" t="s">
        <v>16</v>
      </c>
      <c r="I27" s="3"/>
      <c r="J27" s="22"/>
      <c r="K27" s="56" t="s">
        <v>746</v>
      </c>
      <c r="L27" s="56" t="s">
        <v>846</v>
      </c>
      <c r="M27" s="56" t="s">
        <v>930</v>
      </c>
      <c r="O27" s="9" t="s">
        <v>113</v>
      </c>
      <c r="P27" s="13">
        <f>COUNTIF(B5:B104,"Response")</f>
        <v>6</v>
      </c>
      <c r="Q27" s="14">
        <f>P27/M3*100</f>
        <v>6</v>
      </c>
      <c r="S27" s="13">
        <v>0</v>
      </c>
      <c r="T27" s="13" t="s">
        <v>416</v>
      </c>
      <c r="U27" s="13">
        <v>1</v>
      </c>
    </row>
    <row r="28" spans="1:21" ht="58.8" thickTop="1" thickBot="1" x14ac:dyDescent="0.35">
      <c r="A28" s="21" t="s">
        <v>88</v>
      </c>
      <c r="B28" s="2" t="s">
        <v>75</v>
      </c>
      <c r="C28" s="2" t="s">
        <v>76</v>
      </c>
      <c r="D28" s="2" t="s">
        <v>89</v>
      </c>
      <c r="E28" s="2" t="s">
        <v>90</v>
      </c>
      <c r="F28" s="4" t="s">
        <v>15</v>
      </c>
      <c r="G28" s="6">
        <v>1</v>
      </c>
      <c r="H28" s="4" t="s">
        <v>16</v>
      </c>
      <c r="I28" s="4"/>
      <c r="J28" s="23"/>
      <c r="K28" s="56" t="s">
        <v>747</v>
      </c>
      <c r="L28" s="56" t="s">
        <v>847</v>
      </c>
      <c r="M28" s="56" t="s">
        <v>931</v>
      </c>
      <c r="O28" s="16" t="s">
        <v>133</v>
      </c>
      <c r="P28" s="17">
        <f>COUNTIF(B5:B104,"Address")</f>
        <v>7</v>
      </c>
      <c r="Q28" s="18">
        <f>P28/M3*100</f>
        <v>7.0000000000000009</v>
      </c>
      <c r="S28" s="13">
        <v>1</v>
      </c>
      <c r="T28" s="13" t="s">
        <v>417</v>
      </c>
      <c r="U28" s="13" t="s">
        <v>418</v>
      </c>
    </row>
    <row r="29" spans="1:21" ht="58.8" thickTop="1" thickBot="1" x14ac:dyDescent="0.35">
      <c r="A29" s="20" t="s">
        <v>91</v>
      </c>
      <c r="B29" s="1" t="s">
        <v>92</v>
      </c>
      <c r="C29" s="1" t="s">
        <v>93</v>
      </c>
      <c r="D29" s="1" t="s">
        <v>94</v>
      </c>
      <c r="E29" s="1" t="s">
        <v>95</v>
      </c>
      <c r="F29" s="3" t="s">
        <v>15</v>
      </c>
      <c r="G29" s="5">
        <v>1</v>
      </c>
      <c r="H29" s="3" t="s">
        <v>16</v>
      </c>
      <c r="I29" s="3"/>
      <c r="J29" s="22"/>
      <c r="K29" s="56" t="s">
        <v>748</v>
      </c>
      <c r="L29" s="56" t="s">
        <v>848</v>
      </c>
      <c r="M29" s="56" t="s">
        <v>932</v>
      </c>
      <c r="O29" s="9" t="s">
        <v>158</v>
      </c>
      <c r="P29" s="13">
        <f>COUNTIF(B5:B104,"Data Integrity")</f>
        <v>7</v>
      </c>
      <c r="Q29" s="14">
        <f>P29/M3*100</f>
        <v>7.0000000000000009</v>
      </c>
      <c r="S29" s="13">
        <v>10</v>
      </c>
      <c r="T29" s="13" t="s">
        <v>419</v>
      </c>
      <c r="U29" s="13">
        <v>4</v>
      </c>
    </row>
    <row r="30" spans="1:21" ht="58.8" thickTop="1" thickBot="1" x14ac:dyDescent="0.35">
      <c r="A30" s="21" t="s">
        <v>96</v>
      </c>
      <c r="B30" s="2" t="s">
        <v>92</v>
      </c>
      <c r="C30" s="2" t="s">
        <v>93</v>
      </c>
      <c r="D30" s="2" t="s">
        <v>97</v>
      </c>
      <c r="E30" s="2" t="s">
        <v>98</v>
      </c>
      <c r="F30" s="4" t="s">
        <v>15</v>
      </c>
      <c r="G30" s="6">
        <v>1</v>
      </c>
      <c r="H30" s="4" t="s">
        <v>16</v>
      </c>
      <c r="I30" s="4"/>
      <c r="J30" s="23"/>
      <c r="K30" s="56" t="s">
        <v>749</v>
      </c>
      <c r="L30" s="56" t="s">
        <v>849</v>
      </c>
      <c r="M30" s="56" t="s">
        <v>933</v>
      </c>
      <c r="O30" s="16" t="s">
        <v>182</v>
      </c>
      <c r="P30" s="17">
        <f>COUNTIF(B5:B104,"Protection")</f>
        <v>7</v>
      </c>
      <c r="Q30" s="18">
        <f>P30/M3*100</f>
        <v>7.0000000000000009</v>
      </c>
      <c r="S30" s="13">
        <v>11</v>
      </c>
      <c r="T30" s="13" t="s">
        <v>420</v>
      </c>
      <c r="U30" s="13">
        <v>4</v>
      </c>
    </row>
    <row r="31" spans="1:21" ht="58.8" thickTop="1" thickBot="1" x14ac:dyDescent="0.35">
      <c r="A31" s="20" t="s">
        <v>99</v>
      </c>
      <c r="B31" s="1" t="s">
        <v>92</v>
      </c>
      <c r="C31" s="1" t="s">
        <v>93</v>
      </c>
      <c r="D31" s="1" t="s">
        <v>100</v>
      </c>
      <c r="E31" s="1" t="s">
        <v>101</v>
      </c>
      <c r="F31" s="3" t="s">
        <v>15</v>
      </c>
      <c r="G31" s="5">
        <v>1</v>
      </c>
      <c r="H31" s="3" t="s">
        <v>16</v>
      </c>
      <c r="I31" s="3"/>
      <c r="J31" s="22"/>
      <c r="K31" s="56" t="s">
        <v>750</v>
      </c>
      <c r="L31" s="56" t="s">
        <v>850</v>
      </c>
      <c r="M31" s="56" t="s">
        <v>934</v>
      </c>
      <c r="O31" s="9" t="s">
        <v>205</v>
      </c>
      <c r="P31" s="13">
        <f>COUNTIF(B5:B104,"Arbitration")</f>
        <v>3</v>
      </c>
      <c r="Q31" s="14">
        <f>P31/M3*100</f>
        <v>3</v>
      </c>
      <c r="S31" s="13">
        <v>100</v>
      </c>
      <c r="T31" s="13" t="s">
        <v>421</v>
      </c>
      <c r="U31" s="13">
        <v>8</v>
      </c>
    </row>
    <row r="32" spans="1:21" ht="58.8" thickTop="1" thickBot="1" x14ac:dyDescent="0.35">
      <c r="A32" s="21" t="s">
        <v>102</v>
      </c>
      <c r="B32" s="2" t="s">
        <v>92</v>
      </c>
      <c r="C32" s="2" t="s">
        <v>93</v>
      </c>
      <c r="D32" s="2" t="s">
        <v>103</v>
      </c>
      <c r="E32" s="2" t="s">
        <v>104</v>
      </c>
      <c r="F32" s="4" t="s">
        <v>105</v>
      </c>
      <c r="G32" s="6">
        <v>1</v>
      </c>
      <c r="H32" s="4" t="s">
        <v>16</v>
      </c>
      <c r="I32" s="4"/>
      <c r="J32" s="23"/>
      <c r="K32" s="56" t="s">
        <v>751</v>
      </c>
      <c r="L32" s="56" t="s">
        <v>851</v>
      </c>
      <c r="M32" s="56" t="s">
        <v>935</v>
      </c>
      <c r="O32" s="16" t="s">
        <v>216</v>
      </c>
      <c r="P32" s="17">
        <f>COUNTIF(B5:B104,"Pipeline")</f>
        <v>4</v>
      </c>
      <c r="Q32" s="18">
        <f>P32/M3*100</f>
        <v>4</v>
      </c>
      <c r="S32" s="13">
        <v>101</v>
      </c>
      <c r="T32" s="13" t="s">
        <v>422</v>
      </c>
      <c r="U32" s="13">
        <v>8</v>
      </c>
    </row>
    <row r="33" spans="1:21" ht="58.8" thickTop="1" thickBot="1" x14ac:dyDescent="0.35">
      <c r="A33" s="20" t="s">
        <v>106</v>
      </c>
      <c r="B33" s="1" t="s">
        <v>92</v>
      </c>
      <c r="C33" s="1" t="s">
        <v>93</v>
      </c>
      <c r="D33" s="1" t="s">
        <v>107</v>
      </c>
      <c r="E33" s="1" t="s">
        <v>108</v>
      </c>
      <c r="F33" s="3" t="s">
        <v>105</v>
      </c>
      <c r="G33" s="5">
        <v>1</v>
      </c>
      <c r="H33" s="3" t="s">
        <v>16</v>
      </c>
      <c r="I33" s="3"/>
      <c r="J33" s="22"/>
      <c r="K33" s="56" t="s">
        <v>752</v>
      </c>
      <c r="L33" s="56" t="s">
        <v>852</v>
      </c>
      <c r="M33" s="56" t="s">
        <v>936</v>
      </c>
      <c r="O33" s="9" t="s">
        <v>230</v>
      </c>
      <c r="P33" s="13">
        <f>COUNTIF(B5:B104,"Reset")</f>
        <v>5</v>
      </c>
      <c r="Q33" s="14">
        <f>P33/M3*100</f>
        <v>5</v>
      </c>
      <c r="S33" s="13">
        <v>110</v>
      </c>
      <c r="T33" s="13" t="s">
        <v>423</v>
      </c>
      <c r="U33" s="13">
        <v>16</v>
      </c>
    </row>
    <row r="34" spans="1:21" ht="58.8" thickTop="1" thickBot="1" x14ac:dyDescent="0.35">
      <c r="A34" s="21" t="s">
        <v>109</v>
      </c>
      <c r="B34" s="2" t="s">
        <v>92</v>
      </c>
      <c r="C34" s="2" t="s">
        <v>93</v>
      </c>
      <c r="D34" s="2" t="s">
        <v>110</v>
      </c>
      <c r="E34" s="2" t="s">
        <v>111</v>
      </c>
      <c r="F34" s="4" t="s">
        <v>15</v>
      </c>
      <c r="G34" s="6">
        <v>1</v>
      </c>
      <c r="H34" s="4" t="s">
        <v>16</v>
      </c>
      <c r="I34" s="4"/>
      <c r="J34" s="23"/>
      <c r="K34" s="56" t="s">
        <v>753</v>
      </c>
      <c r="L34" s="56" t="s">
        <v>853</v>
      </c>
      <c r="M34" s="56" t="s">
        <v>937</v>
      </c>
      <c r="O34" s="16" t="s">
        <v>247</v>
      </c>
      <c r="P34" s="17">
        <f>COUNTIF(B5:B104,"Error Injection")</f>
        <v>5</v>
      </c>
      <c r="Q34" s="18">
        <f>P34/M3*100</f>
        <v>5</v>
      </c>
      <c r="S34" s="13">
        <v>111</v>
      </c>
      <c r="T34" s="13" t="s">
        <v>424</v>
      </c>
      <c r="U34" s="13">
        <v>16</v>
      </c>
    </row>
    <row r="35" spans="1:21" ht="58.8" thickTop="1" thickBot="1" x14ac:dyDescent="0.35">
      <c r="A35" s="20" t="s">
        <v>112</v>
      </c>
      <c r="B35" s="1" t="s">
        <v>113</v>
      </c>
      <c r="C35" s="1" t="s">
        <v>114</v>
      </c>
      <c r="D35" s="1" t="s">
        <v>115</v>
      </c>
      <c r="E35" s="1" t="s">
        <v>116</v>
      </c>
      <c r="F35" s="3" t="s">
        <v>15</v>
      </c>
      <c r="G35" s="5">
        <v>1</v>
      </c>
      <c r="H35" s="3" t="s">
        <v>16</v>
      </c>
      <c r="I35" s="3"/>
      <c r="J35" s="22"/>
      <c r="K35" s="56" t="s">
        <v>754</v>
      </c>
      <c r="L35" s="56" t="s">
        <v>854</v>
      </c>
      <c r="M35" s="56" t="s">
        <v>938</v>
      </c>
      <c r="O35" s="9" t="s">
        <v>264</v>
      </c>
      <c r="P35" s="13">
        <f>COUNTIF(B5:B104,"Stress Test")</f>
        <v>5</v>
      </c>
      <c r="Q35" s="14">
        <f>P35/M3*100</f>
        <v>5</v>
      </c>
    </row>
    <row r="36" spans="1:21" ht="58.8" thickTop="1" thickBot="1" x14ac:dyDescent="0.35">
      <c r="A36" s="21" t="s">
        <v>117</v>
      </c>
      <c r="B36" s="2" t="s">
        <v>113</v>
      </c>
      <c r="C36" s="2" t="s">
        <v>114</v>
      </c>
      <c r="D36" s="2" t="s">
        <v>118</v>
      </c>
      <c r="E36" s="2" t="s">
        <v>119</v>
      </c>
      <c r="F36" s="4" t="s">
        <v>15</v>
      </c>
      <c r="G36" s="6">
        <v>1</v>
      </c>
      <c r="H36" s="4" t="s">
        <v>16</v>
      </c>
      <c r="I36" s="4"/>
      <c r="J36" s="23"/>
      <c r="K36" s="56" t="s">
        <v>755</v>
      </c>
      <c r="L36" s="56" t="s">
        <v>855</v>
      </c>
      <c r="M36" s="56" t="s">
        <v>939</v>
      </c>
      <c r="O36" s="16" t="s">
        <v>283</v>
      </c>
      <c r="P36" s="17">
        <f>COUNTIF(B5:B104,"Corner Case")</f>
        <v>5</v>
      </c>
      <c r="Q36" s="18">
        <f>P36/M3*100</f>
        <v>5</v>
      </c>
      <c r="S36" s="72" t="s">
        <v>425</v>
      </c>
      <c r="T36" s="72"/>
      <c r="U36" s="72"/>
    </row>
    <row r="37" spans="1:21" ht="58.8" thickTop="1" thickBot="1" x14ac:dyDescent="0.35">
      <c r="A37" s="20" t="s">
        <v>120</v>
      </c>
      <c r="B37" s="1" t="s">
        <v>113</v>
      </c>
      <c r="C37" s="1" t="s">
        <v>114</v>
      </c>
      <c r="D37" s="1" t="s">
        <v>121</v>
      </c>
      <c r="E37" s="1" t="s">
        <v>122</v>
      </c>
      <c r="F37" s="3" t="s">
        <v>15</v>
      </c>
      <c r="G37" s="5">
        <v>1</v>
      </c>
      <c r="H37" s="3" t="s">
        <v>16</v>
      </c>
      <c r="I37" s="3"/>
      <c r="J37" s="22"/>
      <c r="K37" s="56" t="s">
        <v>756</v>
      </c>
      <c r="L37" s="56" t="s">
        <v>856</v>
      </c>
      <c r="M37" s="56" t="s">
        <v>940</v>
      </c>
      <c r="O37" s="9" t="s">
        <v>301</v>
      </c>
      <c r="P37" s="13">
        <f>COUNTIF(B5:B104,"Coverage")</f>
        <v>6</v>
      </c>
      <c r="Q37" s="14">
        <f>P37/M3*100</f>
        <v>6</v>
      </c>
      <c r="S37" s="10" t="s">
        <v>404</v>
      </c>
      <c r="T37" s="10" t="s">
        <v>426</v>
      </c>
      <c r="U37" s="10" t="s">
        <v>427</v>
      </c>
    </row>
    <row r="38" spans="1:21" ht="58.8" thickTop="1" thickBot="1" x14ac:dyDescent="0.35">
      <c r="A38" s="21" t="s">
        <v>123</v>
      </c>
      <c r="B38" s="2" t="s">
        <v>113</v>
      </c>
      <c r="C38" s="2" t="s">
        <v>114</v>
      </c>
      <c r="D38" s="2" t="s">
        <v>124</v>
      </c>
      <c r="E38" s="2" t="s">
        <v>125</v>
      </c>
      <c r="F38" s="4" t="s">
        <v>105</v>
      </c>
      <c r="G38" s="6">
        <v>1</v>
      </c>
      <c r="H38" s="4" t="s">
        <v>16</v>
      </c>
      <c r="I38" s="4"/>
      <c r="J38" s="23"/>
      <c r="K38" s="56" t="s">
        <v>757</v>
      </c>
      <c r="L38" s="56" t="s">
        <v>857</v>
      </c>
      <c r="M38" s="56" t="s">
        <v>941</v>
      </c>
      <c r="O38" s="16" t="s">
        <v>322</v>
      </c>
      <c r="P38" s="17">
        <f>COUNTIF(B5:B104,"VIP Feature")</f>
        <v>8</v>
      </c>
      <c r="Q38" s="18">
        <f>P38/M3*100</f>
        <v>8</v>
      </c>
      <c r="S38" s="13">
        <v>0</v>
      </c>
      <c r="T38" s="13" t="s">
        <v>428</v>
      </c>
      <c r="U38" s="13">
        <v>8</v>
      </c>
    </row>
    <row r="39" spans="1:21" ht="58.8" thickTop="1" thickBot="1" x14ac:dyDescent="0.35">
      <c r="A39" s="20" t="s">
        <v>126</v>
      </c>
      <c r="B39" s="1" t="s">
        <v>113</v>
      </c>
      <c r="C39" s="1" t="s">
        <v>114</v>
      </c>
      <c r="D39" s="1" t="s">
        <v>127</v>
      </c>
      <c r="E39" s="1" t="s">
        <v>128</v>
      </c>
      <c r="F39" s="3" t="s">
        <v>105</v>
      </c>
      <c r="G39" s="5">
        <v>1</v>
      </c>
      <c r="H39" s="3" t="s">
        <v>16</v>
      </c>
      <c r="I39" s="3"/>
      <c r="J39" s="22"/>
      <c r="K39" s="56" t="s">
        <v>758</v>
      </c>
      <c r="L39" s="56" t="s">
        <v>858</v>
      </c>
      <c r="M39" s="56" t="s">
        <v>942</v>
      </c>
      <c r="O39" s="9" t="s">
        <v>351</v>
      </c>
      <c r="P39" s="13">
        <f>COUNTIF(B5:B104,"Regression")</f>
        <v>2</v>
      </c>
      <c r="Q39" s="14">
        <f>P39/M3*100</f>
        <v>2</v>
      </c>
      <c r="S39" s="13">
        <v>1</v>
      </c>
      <c r="T39" s="13" t="s">
        <v>429</v>
      </c>
      <c r="U39" s="13">
        <v>16</v>
      </c>
    </row>
    <row r="40" spans="1:21" ht="58.8" thickTop="1" thickBot="1" x14ac:dyDescent="0.35">
      <c r="A40" s="21" t="s">
        <v>129</v>
      </c>
      <c r="B40" s="2" t="s">
        <v>113</v>
      </c>
      <c r="C40" s="2" t="s">
        <v>114</v>
      </c>
      <c r="D40" s="2" t="s">
        <v>130</v>
      </c>
      <c r="E40" s="2" t="s">
        <v>131</v>
      </c>
      <c r="F40" s="4" t="s">
        <v>15</v>
      </c>
      <c r="G40" s="6">
        <v>1</v>
      </c>
      <c r="H40" s="4" t="s">
        <v>16</v>
      </c>
      <c r="I40" s="4"/>
      <c r="J40" s="23"/>
      <c r="K40" s="56" t="s">
        <v>759</v>
      </c>
      <c r="L40" s="56" t="s">
        <v>859</v>
      </c>
      <c r="M40" s="56" t="s">
        <v>943</v>
      </c>
      <c r="S40" s="13">
        <v>10</v>
      </c>
      <c r="T40" s="13" t="s">
        <v>430</v>
      </c>
      <c r="U40" s="13">
        <v>32</v>
      </c>
    </row>
    <row r="41" spans="1:21" ht="58.8" thickTop="1" thickBot="1" x14ac:dyDescent="0.35">
      <c r="A41" s="20" t="s">
        <v>132</v>
      </c>
      <c r="B41" s="1" t="s">
        <v>133</v>
      </c>
      <c r="C41" s="1" t="s">
        <v>134</v>
      </c>
      <c r="D41" s="1" t="s">
        <v>135</v>
      </c>
      <c r="E41" s="1" t="s">
        <v>136</v>
      </c>
      <c r="F41" s="3" t="s">
        <v>15</v>
      </c>
      <c r="G41" s="5">
        <v>1</v>
      </c>
      <c r="H41" s="3" t="s">
        <v>16</v>
      </c>
      <c r="I41" s="3"/>
      <c r="J41" s="22"/>
      <c r="K41" s="56" t="s">
        <v>760</v>
      </c>
      <c r="L41" s="56" t="s">
        <v>860</v>
      </c>
      <c r="M41" s="56" t="s">
        <v>944</v>
      </c>
      <c r="S41" s="13">
        <v>11</v>
      </c>
      <c r="T41" s="13" t="s">
        <v>431</v>
      </c>
      <c r="U41" s="13">
        <v>64</v>
      </c>
    </row>
    <row r="42" spans="1:21" ht="58.8" thickTop="1" thickBot="1" x14ac:dyDescent="0.35">
      <c r="A42" s="21" t="s">
        <v>137</v>
      </c>
      <c r="B42" s="2" t="s">
        <v>133</v>
      </c>
      <c r="C42" s="2" t="s">
        <v>134</v>
      </c>
      <c r="D42" s="2" t="s">
        <v>138</v>
      </c>
      <c r="E42" s="2" t="s">
        <v>139</v>
      </c>
      <c r="F42" s="4" t="s">
        <v>15</v>
      </c>
      <c r="G42" s="6">
        <v>1</v>
      </c>
      <c r="H42" s="4" t="s">
        <v>16</v>
      </c>
      <c r="I42" s="4"/>
      <c r="J42" s="23"/>
      <c r="K42" s="56" t="s">
        <v>761</v>
      </c>
      <c r="L42" s="56" t="s">
        <v>861</v>
      </c>
      <c r="M42" s="56" t="s">
        <v>944</v>
      </c>
      <c r="S42" s="13">
        <v>100</v>
      </c>
      <c r="T42" s="13" t="s">
        <v>432</v>
      </c>
      <c r="U42" s="13">
        <v>128</v>
      </c>
    </row>
    <row r="43" spans="1:21" ht="58.8" thickTop="1" thickBot="1" x14ac:dyDescent="0.35">
      <c r="A43" s="20" t="s">
        <v>140</v>
      </c>
      <c r="B43" s="1" t="s">
        <v>133</v>
      </c>
      <c r="C43" s="1" t="s">
        <v>134</v>
      </c>
      <c r="D43" s="1" t="s">
        <v>141</v>
      </c>
      <c r="E43" s="1" t="s">
        <v>142</v>
      </c>
      <c r="F43" s="3" t="s">
        <v>15</v>
      </c>
      <c r="G43" s="5">
        <v>1</v>
      </c>
      <c r="H43" s="3" t="s">
        <v>16</v>
      </c>
      <c r="I43" s="3"/>
      <c r="J43" s="22"/>
      <c r="K43" s="56" t="s">
        <v>762</v>
      </c>
      <c r="L43" s="56" t="s">
        <v>862</v>
      </c>
      <c r="M43" s="56" t="s">
        <v>944</v>
      </c>
      <c r="S43" s="13">
        <v>101</v>
      </c>
      <c r="T43" s="13" t="s">
        <v>433</v>
      </c>
      <c r="U43" s="13">
        <v>256</v>
      </c>
    </row>
    <row r="44" spans="1:21" ht="58.8" thickTop="1" thickBot="1" x14ac:dyDescent="0.35">
      <c r="A44" s="21" t="s">
        <v>143</v>
      </c>
      <c r="B44" s="2" t="s">
        <v>133</v>
      </c>
      <c r="C44" s="2" t="s">
        <v>144</v>
      </c>
      <c r="D44" s="2" t="s">
        <v>145</v>
      </c>
      <c r="E44" s="2" t="s">
        <v>146</v>
      </c>
      <c r="F44" s="4" t="s">
        <v>15</v>
      </c>
      <c r="G44" s="6">
        <v>1</v>
      </c>
      <c r="H44" s="4" t="s">
        <v>16</v>
      </c>
      <c r="I44" s="4"/>
      <c r="J44" s="23"/>
      <c r="K44" s="56" t="s">
        <v>763</v>
      </c>
      <c r="L44" s="56" t="s">
        <v>863</v>
      </c>
      <c r="M44" s="56" t="s">
        <v>945</v>
      </c>
    </row>
    <row r="45" spans="1:21" ht="58.8" thickTop="1" thickBot="1" x14ac:dyDescent="0.35">
      <c r="A45" s="20" t="s">
        <v>147</v>
      </c>
      <c r="B45" s="1" t="s">
        <v>133</v>
      </c>
      <c r="C45" s="1" t="s">
        <v>144</v>
      </c>
      <c r="D45" s="1" t="s">
        <v>148</v>
      </c>
      <c r="E45" s="1" t="s">
        <v>149</v>
      </c>
      <c r="F45" s="3" t="s">
        <v>15</v>
      </c>
      <c r="G45" s="5">
        <v>1</v>
      </c>
      <c r="H45" s="3" t="s">
        <v>16</v>
      </c>
      <c r="I45" s="3"/>
      <c r="J45" s="22"/>
      <c r="K45" s="56" t="s">
        <v>764</v>
      </c>
      <c r="L45" s="56" t="s">
        <v>864</v>
      </c>
      <c r="M45" s="56" t="s">
        <v>946</v>
      </c>
    </row>
    <row r="46" spans="1:21" ht="58.8" thickTop="1" thickBot="1" x14ac:dyDescent="0.35">
      <c r="A46" s="21" t="s">
        <v>150</v>
      </c>
      <c r="B46" s="2" t="s">
        <v>133</v>
      </c>
      <c r="C46" s="2" t="s">
        <v>151</v>
      </c>
      <c r="D46" s="2" t="s">
        <v>152</v>
      </c>
      <c r="E46" s="2" t="s">
        <v>153</v>
      </c>
      <c r="F46" s="4" t="s">
        <v>105</v>
      </c>
      <c r="G46" s="6">
        <v>1</v>
      </c>
      <c r="H46" s="4" t="s">
        <v>16</v>
      </c>
      <c r="I46" s="4"/>
      <c r="J46" s="23"/>
      <c r="K46" s="56" t="s">
        <v>765</v>
      </c>
      <c r="L46" s="56" t="s">
        <v>865</v>
      </c>
      <c r="M46" s="56" t="s">
        <v>947</v>
      </c>
    </row>
    <row r="47" spans="1:21" ht="58.8" thickTop="1" thickBot="1" x14ac:dyDescent="0.35">
      <c r="A47" s="20" t="s">
        <v>154</v>
      </c>
      <c r="B47" s="1" t="s">
        <v>133</v>
      </c>
      <c r="C47" s="1" t="s">
        <v>151</v>
      </c>
      <c r="D47" s="1" t="s">
        <v>155</v>
      </c>
      <c r="E47" s="1" t="s">
        <v>156</v>
      </c>
      <c r="F47" s="3" t="s">
        <v>105</v>
      </c>
      <c r="G47" s="5">
        <v>1</v>
      </c>
      <c r="H47" s="3" t="s">
        <v>16</v>
      </c>
      <c r="I47" s="3"/>
      <c r="J47" s="22"/>
      <c r="K47" s="56" t="s">
        <v>766</v>
      </c>
      <c r="L47" s="56" t="s">
        <v>866</v>
      </c>
      <c r="M47" s="56" t="s">
        <v>948</v>
      </c>
    </row>
    <row r="48" spans="1:21" ht="58.8" thickTop="1" thickBot="1" x14ac:dyDescent="0.35">
      <c r="A48" s="21" t="s">
        <v>157</v>
      </c>
      <c r="B48" s="2" t="s">
        <v>158</v>
      </c>
      <c r="C48" s="2" t="s">
        <v>159</v>
      </c>
      <c r="D48" s="2" t="s">
        <v>160</v>
      </c>
      <c r="E48" s="2" t="s">
        <v>161</v>
      </c>
      <c r="F48" s="4" t="s">
        <v>15</v>
      </c>
      <c r="G48" s="6">
        <v>1</v>
      </c>
      <c r="H48" s="4" t="s">
        <v>16</v>
      </c>
      <c r="I48" s="4"/>
      <c r="J48" s="23"/>
      <c r="K48" s="56" t="s">
        <v>767</v>
      </c>
      <c r="L48" s="56" t="s">
        <v>867</v>
      </c>
      <c r="M48" s="56" t="s">
        <v>949</v>
      </c>
    </row>
    <row r="49" spans="1:13" ht="58.8" thickTop="1" thickBot="1" x14ac:dyDescent="0.35">
      <c r="A49" s="20" t="s">
        <v>162</v>
      </c>
      <c r="B49" s="1" t="s">
        <v>158</v>
      </c>
      <c r="C49" s="1" t="s">
        <v>159</v>
      </c>
      <c r="D49" s="1" t="s">
        <v>163</v>
      </c>
      <c r="E49" s="1" t="s">
        <v>164</v>
      </c>
      <c r="F49" s="3" t="s">
        <v>15</v>
      </c>
      <c r="G49" s="5">
        <v>1</v>
      </c>
      <c r="H49" s="3" t="s">
        <v>16</v>
      </c>
      <c r="I49" s="3"/>
      <c r="J49" s="22"/>
      <c r="K49" s="56" t="s">
        <v>768</v>
      </c>
      <c r="L49" s="56" t="s">
        <v>868</v>
      </c>
      <c r="M49" s="56" t="s">
        <v>950</v>
      </c>
    </row>
    <row r="50" spans="1:13" ht="58.8" thickTop="1" thickBot="1" x14ac:dyDescent="0.35">
      <c r="A50" s="21" t="s">
        <v>165</v>
      </c>
      <c r="B50" s="2" t="s">
        <v>158</v>
      </c>
      <c r="C50" s="2" t="s">
        <v>159</v>
      </c>
      <c r="D50" s="2" t="s">
        <v>166</v>
      </c>
      <c r="E50" s="2" t="s">
        <v>167</v>
      </c>
      <c r="F50" s="4" t="s">
        <v>105</v>
      </c>
      <c r="G50" s="6">
        <v>1</v>
      </c>
      <c r="H50" s="4" t="s">
        <v>16</v>
      </c>
      <c r="I50" s="4"/>
      <c r="J50" s="23"/>
      <c r="K50" s="56" t="s">
        <v>769</v>
      </c>
      <c r="L50" s="56" t="s">
        <v>869</v>
      </c>
      <c r="M50" s="56" t="s">
        <v>951</v>
      </c>
    </row>
    <row r="51" spans="1:13" ht="58.8" thickTop="1" thickBot="1" x14ac:dyDescent="0.35">
      <c r="A51" s="20" t="s">
        <v>168</v>
      </c>
      <c r="B51" s="1" t="s">
        <v>158</v>
      </c>
      <c r="C51" s="1" t="s">
        <v>159</v>
      </c>
      <c r="D51" s="1" t="s">
        <v>169</v>
      </c>
      <c r="E51" s="1" t="s">
        <v>170</v>
      </c>
      <c r="F51" s="3" t="s">
        <v>105</v>
      </c>
      <c r="G51" s="5">
        <v>1</v>
      </c>
      <c r="H51" s="3" t="s">
        <v>16</v>
      </c>
      <c r="I51" s="3"/>
      <c r="J51" s="22"/>
      <c r="K51" s="56" t="s">
        <v>770</v>
      </c>
      <c r="L51" s="56" t="s">
        <v>870</v>
      </c>
      <c r="M51" s="56" t="s">
        <v>952</v>
      </c>
    </row>
    <row r="52" spans="1:13" ht="58.8" thickTop="1" thickBot="1" x14ac:dyDescent="0.35">
      <c r="A52" s="21" t="s">
        <v>171</v>
      </c>
      <c r="B52" s="2" t="s">
        <v>158</v>
      </c>
      <c r="C52" s="2" t="s">
        <v>159</v>
      </c>
      <c r="D52" s="2" t="s">
        <v>172</v>
      </c>
      <c r="E52" s="2" t="s">
        <v>173</v>
      </c>
      <c r="F52" s="4" t="s">
        <v>105</v>
      </c>
      <c r="G52" s="6">
        <v>1</v>
      </c>
      <c r="H52" s="4" t="s">
        <v>16</v>
      </c>
      <c r="I52" s="4"/>
      <c r="J52" s="23"/>
      <c r="K52" s="56" t="s">
        <v>771</v>
      </c>
      <c r="L52" s="56" t="s">
        <v>871</v>
      </c>
      <c r="M52" s="56" t="s">
        <v>953</v>
      </c>
    </row>
    <row r="53" spans="1:13" ht="58.8" thickTop="1" thickBot="1" x14ac:dyDescent="0.35">
      <c r="A53" s="20" t="s">
        <v>174</v>
      </c>
      <c r="B53" s="1" t="s">
        <v>158</v>
      </c>
      <c r="C53" s="1" t="s">
        <v>159</v>
      </c>
      <c r="D53" s="1" t="s">
        <v>175</v>
      </c>
      <c r="E53" s="1" t="s">
        <v>176</v>
      </c>
      <c r="F53" s="3" t="s">
        <v>15</v>
      </c>
      <c r="G53" s="5">
        <v>1</v>
      </c>
      <c r="H53" s="3" t="s">
        <v>16</v>
      </c>
      <c r="I53" s="3"/>
      <c r="J53" s="22"/>
      <c r="K53" s="56" t="s">
        <v>772</v>
      </c>
      <c r="L53" s="56" t="s">
        <v>872</v>
      </c>
      <c r="M53" s="56" t="s">
        <v>954</v>
      </c>
    </row>
    <row r="54" spans="1:13" ht="58.8" thickTop="1" thickBot="1" x14ac:dyDescent="0.35">
      <c r="A54" s="21" t="s">
        <v>177</v>
      </c>
      <c r="B54" s="2" t="s">
        <v>158</v>
      </c>
      <c r="C54" s="2" t="s">
        <v>178</v>
      </c>
      <c r="D54" s="2" t="s">
        <v>179</v>
      </c>
      <c r="E54" s="2" t="s">
        <v>180</v>
      </c>
      <c r="F54" s="4" t="s">
        <v>15</v>
      </c>
      <c r="G54" s="6">
        <v>1</v>
      </c>
      <c r="H54" s="4" t="s">
        <v>16</v>
      </c>
      <c r="I54" s="4"/>
      <c r="J54" s="23"/>
      <c r="K54" s="56" t="s">
        <v>773</v>
      </c>
      <c r="L54" s="56" t="s">
        <v>873</v>
      </c>
      <c r="M54" s="56" t="s">
        <v>955</v>
      </c>
    </row>
    <row r="55" spans="1:13" ht="58.8" thickTop="1" thickBot="1" x14ac:dyDescent="0.35">
      <c r="A55" s="20" t="s">
        <v>181</v>
      </c>
      <c r="B55" s="1" t="s">
        <v>182</v>
      </c>
      <c r="C55" s="1" t="s">
        <v>183</v>
      </c>
      <c r="D55" s="1" t="s">
        <v>184</v>
      </c>
      <c r="E55" s="1" t="s">
        <v>185</v>
      </c>
      <c r="F55" s="3" t="s">
        <v>105</v>
      </c>
      <c r="G55" s="5">
        <v>1</v>
      </c>
      <c r="H55" s="3" t="s">
        <v>16</v>
      </c>
      <c r="I55" s="3"/>
      <c r="J55" s="22"/>
      <c r="K55" s="56" t="s">
        <v>774</v>
      </c>
      <c r="L55" s="56" t="s">
        <v>874</v>
      </c>
      <c r="M55" s="56" t="s">
        <v>956</v>
      </c>
    </row>
    <row r="56" spans="1:13" ht="58.8" thickTop="1" thickBot="1" x14ac:dyDescent="0.35">
      <c r="A56" s="21" t="s">
        <v>186</v>
      </c>
      <c r="B56" s="2" t="s">
        <v>182</v>
      </c>
      <c r="C56" s="2" t="s">
        <v>183</v>
      </c>
      <c r="D56" s="2" t="s">
        <v>187</v>
      </c>
      <c r="E56" s="2" t="s">
        <v>188</v>
      </c>
      <c r="F56" s="4" t="s">
        <v>105</v>
      </c>
      <c r="G56" s="6">
        <v>1</v>
      </c>
      <c r="H56" s="4" t="s">
        <v>16</v>
      </c>
      <c r="I56" s="4"/>
      <c r="J56" s="23"/>
      <c r="K56" s="56" t="s">
        <v>775</v>
      </c>
      <c r="L56" s="56" t="s">
        <v>875</v>
      </c>
      <c r="M56" s="56" t="s">
        <v>956</v>
      </c>
    </row>
    <row r="57" spans="1:13" ht="58.8" thickTop="1" thickBot="1" x14ac:dyDescent="0.35">
      <c r="A57" s="20" t="s">
        <v>189</v>
      </c>
      <c r="B57" s="1" t="s">
        <v>182</v>
      </c>
      <c r="C57" s="1" t="s">
        <v>183</v>
      </c>
      <c r="D57" s="1" t="s">
        <v>190</v>
      </c>
      <c r="E57" s="1" t="s">
        <v>191</v>
      </c>
      <c r="F57" s="3" t="s">
        <v>105</v>
      </c>
      <c r="G57" s="5">
        <v>1</v>
      </c>
      <c r="H57" s="3" t="s">
        <v>16</v>
      </c>
      <c r="I57" s="3"/>
      <c r="J57" s="22"/>
      <c r="K57" s="56" t="s">
        <v>776</v>
      </c>
      <c r="L57" s="56" t="s">
        <v>876</v>
      </c>
      <c r="M57" s="56" t="s">
        <v>957</v>
      </c>
    </row>
    <row r="58" spans="1:13" ht="58.8" thickTop="1" thickBot="1" x14ac:dyDescent="0.35">
      <c r="A58" s="21" t="s">
        <v>192</v>
      </c>
      <c r="B58" s="2" t="s">
        <v>182</v>
      </c>
      <c r="C58" s="2" t="s">
        <v>183</v>
      </c>
      <c r="D58" s="2" t="s">
        <v>193</v>
      </c>
      <c r="E58" s="2" t="s">
        <v>194</v>
      </c>
      <c r="F58" s="4" t="s">
        <v>105</v>
      </c>
      <c r="G58" s="6">
        <v>1</v>
      </c>
      <c r="H58" s="4" t="s">
        <v>16</v>
      </c>
      <c r="I58" s="4"/>
      <c r="J58" s="23"/>
      <c r="K58" s="56" t="s">
        <v>777</v>
      </c>
      <c r="L58" s="56" t="s">
        <v>877</v>
      </c>
      <c r="M58" s="56" t="s">
        <v>957</v>
      </c>
    </row>
    <row r="59" spans="1:13" ht="58.8" thickTop="1" thickBot="1" x14ac:dyDescent="0.35">
      <c r="A59" s="20" t="s">
        <v>195</v>
      </c>
      <c r="B59" s="1" t="s">
        <v>182</v>
      </c>
      <c r="C59" s="1" t="s">
        <v>183</v>
      </c>
      <c r="D59" s="1" t="s">
        <v>196</v>
      </c>
      <c r="E59" s="1" t="s">
        <v>197</v>
      </c>
      <c r="F59" s="3" t="s">
        <v>105</v>
      </c>
      <c r="G59" s="5">
        <v>1</v>
      </c>
      <c r="H59" s="3" t="s">
        <v>16</v>
      </c>
      <c r="I59" s="3"/>
      <c r="J59" s="22"/>
      <c r="K59" s="56" t="s">
        <v>778</v>
      </c>
      <c r="L59" s="56" t="s">
        <v>878</v>
      </c>
      <c r="M59" s="56" t="s">
        <v>958</v>
      </c>
    </row>
    <row r="60" spans="1:13" ht="58.8" thickTop="1" thickBot="1" x14ac:dyDescent="0.35">
      <c r="A60" s="21" t="s">
        <v>198</v>
      </c>
      <c r="B60" s="2" t="s">
        <v>182</v>
      </c>
      <c r="C60" s="2" t="s">
        <v>183</v>
      </c>
      <c r="D60" s="2" t="s">
        <v>199</v>
      </c>
      <c r="E60" s="2" t="s">
        <v>200</v>
      </c>
      <c r="F60" s="4" t="s">
        <v>105</v>
      </c>
      <c r="G60" s="6">
        <v>1</v>
      </c>
      <c r="H60" s="4" t="s">
        <v>16</v>
      </c>
      <c r="I60" s="4"/>
      <c r="J60" s="23"/>
      <c r="K60" s="56" t="s">
        <v>779</v>
      </c>
      <c r="L60" s="56" t="s">
        <v>879</v>
      </c>
      <c r="M60" s="56" t="s">
        <v>959</v>
      </c>
    </row>
    <row r="61" spans="1:13" ht="58.8" thickTop="1" thickBot="1" x14ac:dyDescent="0.35">
      <c r="A61" s="20" t="s">
        <v>201</v>
      </c>
      <c r="B61" s="1" t="s">
        <v>182</v>
      </c>
      <c r="C61" s="1" t="s">
        <v>183</v>
      </c>
      <c r="D61" s="1" t="s">
        <v>202</v>
      </c>
      <c r="E61" s="1" t="s">
        <v>203</v>
      </c>
      <c r="F61" s="3" t="s">
        <v>105</v>
      </c>
      <c r="G61" s="5">
        <v>1</v>
      </c>
      <c r="H61" s="3" t="s">
        <v>16</v>
      </c>
      <c r="I61" s="3"/>
      <c r="J61" s="22"/>
      <c r="K61" s="56" t="s">
        <v>780</v>
      </c>
      <c r="L61" s="56" t="s">
        <v>880</v>
      </c>
      <c r="M61" s="56" t="s">
        <v>960</v>
      </c>
    </row>
    <row r="62" spans="1:13" ht="58.8" thickTop="1" thickBot="1" x14ac:dyDescent="0.35">
      <c r="A62" s="21" t="s">
        <v>204</v>
      </c>
      <c r="B62" s="2" t="s">
        <v>205</v>
      </c>
      <c r="C62" s="2" t="s">
        <v>206</v>
      </c>
      <c r="D62" s="2" t="s">
        <v>207</v>
      </c>
      <c r="E62" s="2" t="s">
        <v>208</v>
      </c>
      <c r="F62" s="4" t="s">
        <v>105</v>
      </c>
      <c r="G62" s="6">
        <v>1</v>
      </c>
      <c r="H62" s="4" t="s">
        <v>16</v>
      </c>
      <c r="I62" s="4"/>
      <c r="J62" s="23"/>
      <c r="K62" s="56" t="s">
        <v>781</v>
      </c>
      <c r="L62" s="56" t="s">
        <v>881</v>
      </c>
      <c r="M62" s="56" t="s">
        <v>961</v>
      </c>
    </row>
    <row r="63" spans="1:13" ht="58.8" thickTop="1" thickBot="1" x14ac:dyDescent="0.35">
      <c r="A63" s="20" t="s">
        <v>209</v>
      </c>
      <c r="B63" s="1" t="s">
        <v>205</v>
      </c>
      <c r="C63" s="1" t="s">
        <v>206</v>
      </c>
      <c r="D63" s="1" t="s">
        <v>210</v>
      </c>
      <c r="E63" s="1" t="s">
        <v>211</v>
      </c>
      <c r="F63" s="3" t="s">
        <v>105</v>
      </c>
      <c r="G63" s="5">
        <v>1</v>
      </c>
      <c r="H63" s="3" t="s">
        <v>16</v>
      </c>
      <c r="I63" s="3"/>
      <c r="J63" s="22"/>
      <c r="K63" s="56" t="s">
        <v>782</v>
      </c>
      <c r="L63" s="56" t="s">
        <v>882</v>
      </c>
      <c r="M63" s="56" t="s">
        <v>962</v>
      </c>
    </row>
    <row r="64" spans="1:13" ht="58.8" thickTop="1" thickBot="1" x14ac:dyDescent="0.35">
      <c r="A64" s="21" t="s">
        <v>212</v>
      </c>
      <c r="B64" s="2" t="s">
        <v>205</v>
      </c>
      <c r="C64" s="2" t="s">
        <v>206</v>
      </c>
      <c r="D64" s="2" t="s">
        <v>213</v>
      </c>
      <c r="E64" s="2" t="s">
        <v>214</v>
      </c>
      <c r="F64" s="4" t="s">
        <v>105</v>
      </c>
      <c r="G64" s="6">
        <v>1</v>
      </c>
      <c r="H64" s="4" t="s">
        <v>16</v>
      </c>
      <c r="I64" s="4"/>
      <c r="J64" s="23"/>
      <c r="K64" s="56" t="s">
        <v>783</v>
      </c>
      <c r="L64" s="56" t="s">
        <v>883</v>
      </c>
      <c r="M64" s="56" t="s">
        <v>963</v>
      </c>
    </row>
    <row r="65" spans="1:13" ht="58.8" thickTop="1" thickBot="1" x14ac:dyDescent="0.35">
      <c r="A65" s="20" t="s">
        <v>215</v>
      </c>
      <c r="B65" s="1" t="s">
        <v>216</v>
      </c>
      <c r="C65" s="1" t="s">
        <v>217</v>
      </c>
      <c r="D65" s="1" t="s">
        <v>218</v>
      </c>
      <c r="E65" s="1" t="s">
        <v>219</v>
      </c>
      <c r="F65" s="3" t="s">
        <v>15</v>
      </c>
      <c r="G65" s="5">
        <v>1</v>
      </c>
      <c r="H65" s="3" t="s">
        <v>16</v>
      </c>
      <c r="I65" s="3"/>
      <c r="J65" s="22"/>
      <c r="K65" s="56" t="s">
        <v>784</v>
      </c>
      <c r="L65" s="56" t="s">
        <v>884</v>
      </c>
      <c r="M65" s="56" t="s">
        <v>964</v>
      </c>
    </row>
    <row r="66" spans="1:13" ht="58.8" thickTop="1" thickBot="1" x14ac:dyDescent="0.35">
      <c r="A66" s="21" t="s">
        <v>220</v>
      </c>
      <c r="B66" s="2" t="s">
        <v>216</v>
      </c>
      <c r="C66" s="2" t="s">
        <v>217</v>
      </c>
      <c r="D66" s="2" t="s">
        <v>221</v>
      </c>
      <c r="E66" s="2" t="s">
        <v>222</v>
      </c>
      <c r="F66" s="4" t="s">
        <v>15</v>
      </c>
      <c r="G66" s="6">
        <v>1</v>
      </c>
      <c r="H66" s="4" t="s">
        <v>16</v>
      </c>
      <c r="I66" s="4"/>
      <c r="J66" s="23"/>
      <c r="K66" s="56" t="s">
        <v>785</v>
      </c>
      <c r="L66" s="56" t="s">
        <v>885</v>
      </c>
      <c r="M66" s="56" t="s">
        <v>965</v>
      </c>
    </row>
    <row r="67" spans="1:13" ht="58.8" thickTop="1" thickBot="1" x14ac:dyDescent="0.35">
      <c r="A67" s="20" t="s">
        <v>223</v>
      </c>
      <c r="B67" s="1" t="s">
        <v>216</v>
      </c>
      <c r="C67" s="1" t="s">
        <v>217</v>
      </c>
      <c r="D67" s="1" t="s">
        <v>224</v>
      </c>
      <c r="E67" s="1" t="s">
        <v>225</v>
      </c>
      <c r="F67" s="3" t="s">
        <v>15</v>
      </c>
      <c r="G67" s="5">
        <v>1</v>
      </c>
      <c r="H67" s="3" t="s">
        <v>16</v>
      </c>
      <c r="I67" s="3"/>
      <c r="J67" s="22"/>
      <c r="K67" s="56" t="s">
        <v>786</v>
      </c>
      <c r="L67" s="56" t="s">
        <v>886</v>
      </c>
      <c r="M67" s="56" t="s">
        <v>966</v>
      </c>
    </row>
    <row r="68" spans="1:13" ht="58.8" thickTop="1" thickBot="1" x14ac:dyDescent="0.35">
      <c r="A68" s="21" t="s">
        <v>226</v>
      </c>
      <c r="B68" s="2" t="s">
        <v>216</v>
      </c>
      <c r="C68" s="2" t="s">
        <v>217</v>
      </c>
      <c r="D68" s="2" t="s">
        <v>227</v>
      </c>
      <c r="E68" s="2" t="s">
        <v>228</v>
      </c>
      <c r="F68" s="4" t="s">
        <v>15</v>
      </c>
      <c r="G68" s="6">
        <v>1</v>
      </c>
      <c r="H68" s="4" t="s">
        <v>16</v>
      </c>
      <c r="I68" s="4"/>
      <c r="J68" s="23"/>
      <c r="K68" s="56" t="s">
        <v>787</v>
      </c>
      <c r="L68" s="56" t="s">
        <v>887</v>
      </c>
      <c r="M68" s="56" t="s">
        <v>967</v>
      </c>
    </row>
    <row r="69" spans="1:13" ht="58.8" thickTop="1" thickBot="1" x14ac:dyDescent="0.35">
      <c r="A69" s="20" t="s">
        <v>229</v>
      </c>
      <c r="B69" s="1" t="s">
        <v>230</v>
      </c>
      <c r="C69" s="1" t="s">
        <v>231</v>
      </c>
      <c r="D69" s="1" t="s">
        <v>232</v>
      </c>
      <c r="E69" s="1" t="s">
        <v>233</v>
      </c>
      <c r="F69" s="3" t="s">
        <v>15</v>
      </c>
      <c r="G69" s="5">
        <v>1</v>
      </c>
      <c r="H69" s="3" t="s">
        <v>16</v>
      </c>
      <c r="I69" s="3"/>
      <c r="J69" s="22"/>
      <c r="K69" s="56" t="s">
        <v>788</v>
      </c>
      <c r="L69" s="56" t="s">
        <v>888</v>
      </c>
      <c r="M69" s="56" t="s">
        <v>968</v>
      </c>
    </row>
    <row r="70" spans="1:13" ht="58.8" thickTop="1" thickBot="1" x14ac:dyDescent="0.35">
      <c r="A70" s="21" t="s">
        <v>234</v>
      </c>
      <c r="B70" s="2" t="s">
        <v>230</v>
      </c>
      <c r="C70" s="2" t="s">
        <v>231</v>
      </c>
      <c r="D70" s="2" t="s">
        <v>235</v>
      </c>
      <c r="E70" s="2" t="s">
        <v>236</v>
      </c>
      <c r="F70" s="4" t="s">
        <v>15</v>
      </c>
      <c r="G70" s="6">
        <v>1</v>
      </c>
      <c r="H70" s="4" t="s">
        <v>16</v>
      </c>
      <c r="I70" s="4"/>
      <c r="J70" s="23"/>
      <c r="K70" s="56" t="s">
        <v>789</v>
      </c>
      <c r="L70" s="56" t="s">
        <v>889</v>
      </c>
      <c r="M70" s="56" t="s">
        <v>969</v>
      </c>
    </row>
    <row r="71" spans="1:13" ht="58.8" thickTop="1" thickBot="1" x14ac:dyDescent="0.35">
      <c r="A71" s="20" t="s">
        <v>237</v>
      </c>
      <c r="B71" s="1" t="s">
        <v>230</v>
      </c>
      <c r="C71" s="1" t="s">
        <v>231</v>
      </c>
      <c r="D71" s="1" t="s">
        <v>238</v>
      </c>
      <c r="E71" s="1" t="s">
        <v>239</v>
      </c>
      <c r="F71" s="3" t="s">
        <v>15</v>
      </c>
      <c r="G71" s="5">
        <v>1</v>
      </c>
      <c r="H71" s="3" t="s">
        <v>16</v>
      </c>
      <c r="I71" s="3"/>
      <c r="J71" s="22"/>
      <c r="K71" s="56" t="s">
        <v>790</v>
      </c>
      <c r="L71" s="56" t="s">
        <v>890</v>
      </c>
      <c r="M71" s="56" t="s">
        <v>970</v>
      </c>
    </row>
    <row r="72" spans="1:13" ht="58.8" thickTop="1" thickBot="1" x14ac:dyDescent="0.35">
      <c r="A72" s="21" t="s">
        <v>240</v>
      </c>
      <c r="B72" s="2" t="s">
        <v>230</v>
      </c>
      <c r="C72" s="2" t="s">
        <v>231</v>
      </c>
      <c r="D72" s="2" t="s">
        <v>241</v>
      </c>
      <c r="E72" s="2" t="s">
        <v>242</v>
      </c>
      <c r="F72" s="4" t="s">
        <v>15</v>
      </c>
      <c r="G72" s="6">
        <v>1</v>
      </c>
      <c r="H72" s="4" t="s">
        <v>16</v>
      </c>
      <c r="I72" s="4"/>
      <c r="J72" s="23"/>
      <c r="K72" s="56" t="s">
        <v>791</v>
      </c>
      <c r="L72" s="56" t="s">
        <v>891</v>
      </c>
      <c r="M72" s="56" t="s">
        <v>971</v>
      </c>
    </row>
    <row r="73" spans="1:13" ht="58.8" thickTop="1" thickBot="1" x14ac:dyDescent="0.35">
      <c r="A73" s="20" t="s">
        <v>243</v>
      </c>
      <c r="B73" s="1" t="s">
        <v>230</v>
      </c>
      <c r="C73" s="1" t="s">
        <v>231</v>
      </c>
      <c r="D73" s="1" t="s">
        <v>244</v>
      </c>
      <c r="E73" s="1" t="s">
        <v>245</v>
      </c>
      <c r="F73" s="3" t="s">
        <v>15</v>
      </c>
      <c r="G73" s="5">
        <v>1</v>
      </c>
      <c r="H73" s="3" t="s">
        <v>16</v>
      </c>
      <c r="I73" s="3"/>
      <c r="J73" s="22"/>
      <c r="K73" s="56" t="s">
        <v>792</v>
      </c>
      <c r="L73" s="56" t="s">
        <v>892</v>
      </c>
      <c r="M73" s="56" t="s">
        <v>972</v>
      </c>
    </row>
    <row r="74" spans="1:13" ht="58.8" thickTop="1" thickBot="1" x14ac:dyDescent="0.35">
      <c r="A74" s="21" t="s">
        <v>246</v>
      </c>
      <c r="B74" s="2" t="s">
        <v>247</v>
      </c>
      <c r="C74" s="2" t="s">
        <v>248</v>
      </c>
      <c r="D74" s="2" t="s">
        <v>249</v>
      </c>
      <c r="E74" s="2" t="s">
        <v>250</v>
      </c>
      <c r="F74" s="4" t="s">
        <v>105</v>
      </c>
      <c r="G74" s="6">
        <v>1</v>
      </c>
      <c r="H74" s="4" t="s">
        <v>16</v>
      </c>
      <c r="I74" s="4"/>
      <c r="J74" s="23"/>
      <c r="K74" s="56" t="s">
        <v>793</v>
      </c>
      <c r="L74" s="56" t="s">
        <v>893</v>
      </c>
      <c r="M74" s="56" t="s">
        <v>973</v>
      </c>
    </row>
    <row r="75" spans="1:13" ht="58.8" thickTop="1" thickBot="1" x14ac:dyDescent="0.35">
      <c r="A75" s="20" t="s">
        <v>251</v>
      </c>
      <c r="B75" s="1" t="s">
        <v>247</v>
      </c>
      <c r="C75" s="1" t="s">
        <v>248</v>
      </c>
      <c r="D75" s="1" t="s">
        <v>252</v>
      </c>
      <c r="E75" s="1" t="s">
        <v>253</v>
      </c>
      <c r="F75" s="3" t="s">
        <v>105</v>
      </c>
      <c r="G75" s="5">
        <v>1</v>
      </c>
      <c r="H75" s="3" t="s">
        <v>16</v>
      </c>
      <c r="I75" s="3"/>
      <c r="J75" s="22"/>
      <c r="K75" s="56" t="s">
        <v>794</v>
      </c>
      <c r="L75" s="56" t="s">
        <v>894</v>
      </c>
      <c r="M75" s="56" t="s">
        <v>974</v>
      </c>
    </row>
    <row r="76" spans="1:13" ht="58.8" thickTop="1" thickBot="1" x14ac:dyDescent="0.35">
      <c r="A76" s="21" t="s">
        <v>254</v>
      </c>
      <c r="B76" s="2" t="s">
        <v>247</v>
      </c>
      <c r="C76" s="2" t="s">
        <v>248</v>
      </c>
      <c r="D76" s="2" t="s">
        <v>255</v>
      </c>
      <c r="E76" s="2" t="s">
        <v>256</v>
      </c>
      <c r="F76" s="4" t="s">
        <v>105</v>
      </c>
      <c r="G76" s="6">
        <v>1</v>
      </c>
      <c r="H76" s="4" t="s">
        <v>16</v>
      </c>
      <c r="I76" s="4"/>
      <c r="J76" s="23"/>
      <c r="K76" s="56" t="s">
        <v>795</v>
      </c>
      <c r="L76" s="56" t="s">
        <v>895</v>
      </c>
      <c r="M76" s="56" t="s">
        <v>975</v>
      </c>
    </row>
    <row r="77" spans="1:13" ht="58.8" thickTop="1" thickBot="1" x14ac:dyDescent="0.35">
      <c r="A77" s="20" t="s">
        <v>257</v>
      </c>
      <c r="B77" s="1" t="s">
        <v>247</v>
      </c>
      <c r="C77" s="1" t="s">
        <v>248</v>
      </c>
      <c r="D77" s="1" t="s">
        <v>258</v>
      </c>
      <c r="E77" s="1" t="s">
        <v>259</v>
      </c>
      <c r="F77" s="3" t="s">
        <v>15</v>
      </c>
      <c r="G77" s="5">
        <v>1</v>
      </c>
      <c r="H77" s="3" t="s">
        <v>16</v>
      </c>
      <c r="I77" s="3"/>
      <c r="J77" s="22"/>
      <c r="K77" s="56" t="s">
        <v>796</v>
      </c>
      <c r="L77" s="56" t="s">
        <v>896</v>
      </c>
      <c r="M77" s="56" t="s">
        <v>976</v>
      </c>
    </row>
    <row r="78" spans="1:13" ht="58.8" thickTop="1" thickBot="1" x14ac:dyDescent="0.35">
      <c r="A78" s="21" t="s">
        <v>260</v>
      </c>
      <c r="B78" s="2" t="s">
        <v>247</v>
      </c>
      <c r="C78" s="2" t="s">
        <v>248</v>
      </c>
      <c r="D78" s="2" t="s">
        <v>261</v>
      </c>
      <c r="E78" s="2" t="s">
        <v>262</v>
      </c>
      <c r="F78" s="4" t="s">
        <v>15</v>
      </c>
      <c r="G78" s="6">
        <v>1</v>
      </c>
      <c r="H78" s="4" t="s">
        <v>16</v>
      </c>
      <c r="I78" s="4"/>
      <c r="J78" s="23"/>
      <c r="K78" s="56" t="s">
        <v>797</v>
      </c>
      <c r="L78" s="56" t="s">
        <v>897</v>
      </c>
      <c r="M78" s="56" t="s">
        <v>977</v>
      </c>
    </row>
    <row r="79" spans="1:13" ht="58.8" thickTop="1" thickBot="1" x14ac:dyDescent="0.35">
      <c r="A79" s="20" t="s">
        <v>263</v>
      </c>
      <c r="B79" s="1" t="s">
        <v>264</v>
      </c>
      <c r="C79" s="1" t="s">
        <v>265</v>
      </c>
      <c r="D79" s="1" t="s">
        <v>266</v>
      </c>
      <c r="E79" s="1" t="s">
        <v>267</v>
      </c>
      <c r="F79" s="3" t="s">
        <v>105</v>
      </c>
      <c r="G79" s="5">
        <v>1</v>
      </c>
      <c r="H79" s="3" t="s">
        <v>16</v>
      </c>
      <c r="I79" s="3"/>
      <c r="J79" s="22"/>
      <c r="K79" s="56" t="s">
        <v>798</v>
      </c>
      <c r="L79" s="56" t="s">
        <v>898</v>
      </c>
      <c r="M79" s="56" t="s">
        <v>978</v>
      </c>
    </row>
    <row r="80" spans="1:13" ht="58.8" thickTop="1" thickBot="1" x14ac:dyDescent="0.35">
      <c r="A80" s="21" t="s">
        <v>268</v>
      </c>
      <c r="B80" s="2" t="s">
        <v>264</v>
      </c>
      <c r="C80" s="2" t="s">
        <v>265</v>
      </c>
      <c r="D80" s="2" t="s">
        <v>269</v>
      </c>
      <c r="E80" s="2" t="s">
        <v>270</v>
      </c>
      <c r="F80" s="4" t="s">
        <v>105</v>
      </c>
      <c r="G80" s="6">
        <v>1</v>
      </c>
      <c r="H80" s="4" t="s">
        <v>16</v>
      </c>
      <c r="I80" s="4"/>
      <c r="J80" s="23"/>
      <c r="K80" s="56" t="s">
        <v>799</v>
      </c>
      <c r="L80" s="56" t="s">
        <v>899</v>
      </c>
      <c r="M80" s="56" t="s">
        <v>979</v>
      </c>
    </row>
    <row r="81" spans="1:13" ht="58.8" thickTop="1" thickBot="1" x14ac:dyDescent="0.35">
      <c r="A81" s="20" t="s">
        <v>271</v>
      </c>
      <c r="B81" s="1" t="s">
        <v>264</v>
      </c>
      <c r="C81" s="1" t="s">
        <v>265</v>
      </c>
      <c r="D81" s="1" t="s">
        <v>272</v>
      </c>
      <c r="E81" s="1" t="s">
        <v>273</v>
      </c>
      <c r="F81" s="3" t="s">
        <v>274</v>
      </c>
      <c r="G81" s="5">
        <v>1</v>
      </c>
      <c r="H81" s="3" t="s">
        <v>16</v>
      </c>
      <c r="I81" s="3"/>
      <c r="J81" s="22"/>
      <c r="K81" s="56" t="s">
        <v>800</v>
      </c>
      <c r="L81" s="56" t="s">
        <v>900</v>
      </c>
      <c r="M81" s="56" t="s">
        <v>980</v>
      </c>
    </row>
    <row r="82" spans="1:13" ht="58.8" thickTop="1" thickBot="1" x14ac:dyDescent="0.35">
      <c r="A82" s="21" t="s">
        <v>275</v>
      </c>
      <c r="B82" s="2" t="s">
        <v>264</v>
      </c>
      <c r="C82" s="2" t="s">
        <v>276</v>
      </c>
      <c r="D82" s="2" t="s">
        <v>277</v>
      </c>
      <c r="E82" s="2" t="s">
        <v>278</v>
      </c>
      <c r="F82" s="4" t="s">
        <v>105</v>
      </c>
      <c r="G82" s="6">
        <v>1</v>
      </c>
      <c r="H82" s="4" t="s">
        <v>16</v>
      </c>
      <c r="I82" s="4"/>
      <c r="J82" s="23"/>
      <c r="K82" s="56" t="s">
        <v>801</v>
      </c>
      <c r="L82" s="56" t="s">
        <v>901</v>
      </c>
      <c r="M82" s="56" t="s">
        <v>981</v>
      </c>
    </row>
    <row r="83" spans="1:13" ht="58.8" thickTop="1" thickBot="1" x14ac:dyDescent="0.35">
      <c r="A83" s="20" t="s">
        <v>279</v>
      </c>
      <c r="B83" s="1" t="s">
        <v>264</v>
      </c>
      <c r="C83" s="1" t="s">
        <v>276</v>
      </c>
      <c r="D83" s="1" t="s">
        <v>280</v>
      </c>
      <c r="E83" s="1" t="s">
        <v>281</v>
      </c>
      <c r="F83" s="3" t="s">
        <v>105</v>
      </c>
      <c r="G83" s="5">
        <v>1</v>
      </c>
      <c r="H83" s="3" t="s">
        <v>16</v>
      </c>
      <c r="I83" s="3"/>
      <c r="J83" s="22"/>
      <c r="K83" s="56" t="s">
        <v>802</v>
      </c>
      <c r="L83" s="56" t="s">
        <v>902</v>
      </c>
      <c r="M83" s="56" t="s">
        <v>982</v>
      </c>
    </row>
    <row r="84" spans="1:13" ht="58.8" thickTop="1" thickBot="1" x14ac:dyDescent="0.35">
      <c r="A84" s="21" t="s">
        <v>282</v>
      </c>
      <c r="B84" s="2" t="s">
        <v>283</v>
      </c>
      <c r="C84" s="2" t="s">
        <v>284</v>
      </c>
      <c r="D84" s="2" t="s">
        <v>285</v>
      </c>
      <c r="E84" s="2" t="s">
        <v>286</v>
      </c>
      <c r="F84" s="4" t="s">
        <v>274</v>
      </c>
      <c r="G84" s="6">
        <v>1</v>
      </c>
      <c r="H84" s="4" t="s">
        <v>16</v>
      </c>
      <c r="I84" s="4"/>
      <c r="J84" s="23"/>
      <c r="K84" s="56" t="s">
        <v>803</v>
      </c>
      <c r="L84" s="56" t="s">
        <v>903</v>
      </c>
      <c r="M84" s="56" t="s">
        <v>983</v>
      </c>
    </row>
    <row r="85" spans="1:13" ht="58.8" thickTop="1" thickBot="1" x14ac:dyDescent="0.35">
      <c r="A85" s="20" t="s">
        <v>287</v>
      </c>
      <c r="B85" s="1" t="s">
        <v>283</v>
      </c>
      <c r="C85" s="1" t="s">
        <v>284</v>
      </c>
      <c r="D85" s="1" t="s">
        <v>288</v>
      </c>
      <c r="E85" s="1" t="s">
        <v>289</v>
      </c>
      <c r="F85" s="3" t="s">
        <v>274</v>
      </c>
      <c r="G85" s="5">
        <v>1</v>
      </c>
      <c r="H85" s="3" t="s">
        <v>16</v>
      </c>
      <c r="I85" s="3"/>
      <c r="J85" s="22"/>
      <c r="K85" s="56" t="s">
        <v>804</v>
      </c>
      <c r="L85" s="56" t="s">
        <v>904</v>
      </c>
      <c r="M85" s="56" t="s">
        <v>984</v>
      </c>
    </row>
    <row r="86" spans="1:13" ht="58.8" thickTop="1" thickBot="1" x14ac:dyDescent="0.35">
      <c r="A86" s="21" t="s">
        <v>290</v>
      </c>
      <c r="B86" s="2" t="s">
        <v>283</v>
      </c>
      <c r="C86" s="2" t="s">
        <v>291</v>
      </c>
      <c r="D86" s="2" t="s">
        <v>292</v>
      </c>
      <c r="E86" s="2" t="s">
        <v>293</v>
      </c>
      <c r="F86" s="4" t="s">
        <v>15</v>
      </c>
      <c r="G86" s="6">
        <v>1</v>
      </c>
      <c r="H86" s="4" t="s">
        <v>16</v>
      </c>
      <c r="I86" s="4"/>
      <c r="J86" s="23"/>
      <c r="K86" s="56" t="s">
        <v>805</v>
      </c>
      <c r="L86" s="56" t="s">
        <v>905</v>
      </c>
      <c r="M86" s="56" t="s">
        <v>985</v>
      </c>
    </row>
    <row r="87" spans="1:13" ht="58.8" thickTop="1" thickBot="1" x14ac:dyDescent="0.35">
      <c r="A87" s="20" t="s">
        <v>294</v>
      </c>
      <c r="B87" s="1" t="s">
        <v>283</v>
      </c>
      <c r="C87" s="1" t="s">
        <v>291</v>
      </c>
      <c r="D87" s="1" t="s">
        <v>295</v>
      </c>
      <c r="E87" s="1" t="s">
        <v>296</v>
      </c>
      <c r="F87" s="3" t="s">
        <v>15</v>
      </c>
      <c r="G87" s="5">
        <v>1</v>
      </c>
      <c r="H87" s="3" t="s">
        <v>16</v>
      </c>
      <c r="I87" s="3"/>
      <c r="J87" s="22"/>
      <c r="K87" s="56" t="s">
        <v>806</v>
      </c>
      <c r="L87" s="56" t="s">
        <v>906</v>
      </c>
      <c r="M87" s="56" t="s">
        <v>986</v>
      </c>
    </row>
    <row r="88" spans="1:13" ht="58.8" thickTop="1" thickBot="1" x14ac:dyDescent="0.35">
      <c r="A88" s="21" t="s">
        <v>297</v>
      </c>
      <c r="B88" s="2" t="s">
        <v>283</v>
      </c>
      <c r="C88" s="2" t="s">
        <v>291</v>
      </c>
      <c r="D88" s="2" t="s">
        <v>298</v>
      </c>
      <c r="E88" s="2" t="s">
        <v>299</v>
      </c>
      <c r="F88" s="4" t="s">
        <v>105</v>
      </c>
      <c r="G88" s="6">
        <v>1</v>
      </c>
      <c r="H88" s="4" t="s">
        <v>16</v>
      </c>
      <c r="I88" s="4"/>
      <c r="J88" s="23"/>
      <c r="K88" s="56" t="s">
        <v>807</v>
      </c>
      <c r="L88" s="56" t="s">
        <v>907</v>
      </c>
      <c r="M88" s="56" t="s">
        <v>987</v>
      </c>
    </row>
    <row r="89" spans="1:13" ht="58.8" thickTop="1" thickBot="1" x14ac:dyDescent="0.35">
      <c r="A89" s="20" t="s">
        <v>300</v>
      </c>
      <c r="B89" s="1" t="s">
        <v>301</v>
      </c>
      <c r="C89" s="1" t="s">
        <v>302</v>
      </c>
      <c r="D89" s="1" t="s">
        <v>303</v>
      </c>
      <c r="E89" s="1" t="s">
        <v>304</v>
      </c>
      <c r="F89" s="3" t="s">
        <v>105</v>
      </c>
      <c r="G89" s="5">
        <v>1</v>
      </c>
      <c r="H89" s="3" t="s">
        <v>16</v>
      </c>
      <c r="I89" s="3"/>
      <c r="J89" s="22"/>
      <c r="K89" s="56" t="s">
        <v>808</v>
      </c>
      <c r="L89" s="56" t="s">
        <v>908</v>
      </c>
      <c r="M89" s="56" t="s">
        <v>988</v>
      </c>
    </row>
    <row r="90" spans="1:13" ht="58.8" thickTop="1" thickBot="1" x14ac:dyDescent="0.35">
      <c r="A90" s="21" t="s">
        <v>305</v>
      </c>
      <c r="B90" s="2" t="s">
        <v>301</v>
      </c>
      <c r="C90" s="2" t="s">
        <v>302</v>
      </c>
      <c r="D90" s="2" t="s">
        <v>306</v>
      </c>
      <c r="E90" s="2" t="s">
        <v>307</v>
      </c>
      <c r="F90" s="4" t="s">
        <v>105</v>
      </c>
      <c r="G90" s="6">
        <v>1</v>
      </c>
      <c r="H90" s="4" t="s">
        <v>16</v>
      </c>
      <c r="I90" s="4"/>
      <c r="J90" s="23"/>
      <c r="K90" s="56" t="s">
        <v>809</v>
      </c>
      <c r="L90" s="56" t="s">
        <v>909</v>
      </c>
      <c r="M90" s="56" t="s">
        <v>989</v>
      </c>
    </row>
    <row r="91" spans="1:13" ht="58.8" thickTop="1" thickBot="1" x14ac:dyDescent="0.35">
      <c r="A91" s="20" t="s">
        <v>308</v>
      </c>
      <c r="B91" s="1" t="s">
        <v>301</v>
      </c>
      <c r="C91" s="1" t="s">
        <v>302</v>
      </c>
      <c r="D91" s="1" t="s">
        <v>309</v>
      </c>
      <c r="E91" s="1" t="s">
        <v>310</v>
      </c>
      <c r="F91" s="3" t="s">
        <v>105</v>
      </c>
      <c r="G91" s="5">
        <v>1</v>
      </c>
      <c r="H91" s="3" t="s">
        <v>16</v>
      </c>
      <c r="I91" s="3"/>
      <c r="J91" s="22"/>
      <c r="K91" s="56" t="s">
        <v>810</v>
      </c>
      <c r="L91" s="56" t="s">
        <v>910</v>
      </c>
      <c r="M91" s="56" t="s">
        <v>990</v>
      </c>
    </row>
    <row r="92" spans="1:13" ht="58.8" thickTop="1" thickBot="1" x14ac:dyDescent="0.35">
      <c r="A92" s="21" t="s">
        <v>311</v>
      </c>
      <c r="B92" s="2" t="s">
        <v>301</v>
      </c>
      <c r="C92" s="2" t="s">
        <v>302</v>
      </c>
      <c r="D92" s="2" t="s">
        <v>312</v>
      </c>
      <c r="E92" s="2" t="s">
        <v>313</v>
      </c>
      <c r="F92" s="4" t="s">
        <v>105</v>
      </c>
      <c r="G92" s="6">
        <v>1</v>
      </c>
      <c r="H92" s="4" t="s">
        <v>16</v>
      </c>
      <c r="I92" s="4"/>
      <c r="J92" s="23"/>
      <c r="K92" s="56" t="s">
        <v>811</v>
      </c>
      <c r="L92" s="56" t="s">
        <v>911</v>
      </c>
      <c r="M92" s="56" t="s">
        <v>991</v>
      </c>
    </row>
    <row r="93" spans="1:13" ht="58.8" thickTop="1" thickBot="1" x14ac:dyDescent="0.35">
      <c r="A93" s="20" t="s">
        <v>314</v>
      </c>
      <c r="B93" s="1" t="s">
        <v>301</v>
      </c>
      <c r="C93" s="1" t="s">
        <v>302</v>
      </c>
      <c r="D93" s="1" t="s">
        <v>315</v>
      </c>
      <c r="E93" s="1" t="s">
        <v>316</v>
      </c>
      <c r="F93" s="3" t="s">
        <v>105</v>
      </c>
      <c r="G93" s="5">
        <v>1</v>
      </c>
      <c r="H93" s="3" t="s">
        <v>16</v>
      </c>
      <c r="I93" s="3"/>
      <c r="J93" s="22"/>
      <c r="K93" s="56" t="s">
        <v>812</v>
      </c>
      <c r="L93" s="56" t="s">
        <v>912</v>
      </c>
      <c r="M93" s="56" t="s">
        <v>992</v>
      </c>
    </row>
    <row r="94" spans="1:13" ht="58.8" thickTop="1" thickBot="1" x14ac:dyDescent="0.35">
      <c r="A94" s="21" t="s">
        <v>317</v>
      </c>
      <c r="B94" s="2" t="s">
        <v>301</v>
      </c>
      <c r="C94" s="2" t="s">
        <v>318</v>
      </c>
      <c r="D94" s="2" t="s">
        <v>319</v>
      </c>
      <c r="E94" s="2" t="s">
        <v>320</v>
      </c>
      <c r="F94" s="4" t="s">
        <v>15</v>
      </c>
      <c r="G94" s="6">
        <v>0.9</v>
      </c>
      <c r="H94" s="4" t="s">
        <v>16</v>
      </c>
      <c r="I94" s="4"/>
      <c r="J94" s="23"/>
      <c r="K94" s="56" t="s">
        <v>813</v>
      </c>
      <c r="L94" s="56" t="s">
        <v>913</v>
      </c>
      <c r="M94" s="56" t="s">
        <v>993</v>
      </c>
    </row>
    <row r="95" spans="1:13" ht="58.8" thickTop="1" thickBot="1" x14ac:dyDescent="0.35">
      <c r="A95" s="20" t="s">
        <v>321</v>
      </c>
      <c r="B95" s="1" t="s">
        <v>322</v>
      </c>
      <c r="C95" s="1" t="s">
        <v>323</v>
      </c>
      <c r="D95" s="1" t="s">
        <v>324</v>
      </c>
      <c r="E95" s="1" t="s">
        <v>325</v>
      </c>
      <c r="F95" s="3" t="s">
        <v>15</v>
      </c>
      <c r="G95" s="5">
        <v>1</v>
      </c>
      <c r="H95" s="3" t="s">
        <v>16</v>
      </c>
      <c r="I95" s="3"/>
      <c r="J95" s="22"/>
      <c r="K95" s="56" t="s">
        <v>814</v>
      </c>
      <c r="L95" s="56" t="s">
        <v>914</v>
      </c>
      <c r="M95" s="56" t="s">
        <v>994</v>
      </c>
    </row>
    <row r="96" spans="1:13" ht="58.8" thickTop="1" thickBot="1" x14ac:dyDescent="0.35">
      <c r="A96" s="21" t="s">
        <v>326</v>
      </c>
      <c r="B96" s="2" t="s">
        <v>322</v>
      </c>
      <c r="C96" s="2" t="s">
        <v>323</v>
      </c>
      <c r="D96" s="2" t="s">
        <v>327</v>
      </c>
      <c r="E96" s="2" t="s">
        <v>328</v>
      </c>
      <c r="F96" s="4" t="s">
        <v>15</v>
      </c>
      <c r="G96" s="6">
        <v>1</v>
      </c>
      <c r="H96" s="4" t="s">
        <v>16</v>
      </c>
      <c r="I96" s="4"/>
      <c r="J96" s="23"/>
      <c r="K96" s="56" t="s">
        <v>815</v>
      </c>
      <c r="L96" s="56" t="s">
        <v>915</v>
      </c>
      <c r="M96" s="56" t="s">
        <v>995</v>
      </c>
    </row>
    <row r="97" spans="1:13" ht="58.8" thickTop="1" thickBot="1" x14ac:dyDescent="0.35">
      <c r="A97" s="20" t="s">
        <v>329</v>
      </c>
      <c r="B97" s="1" t="s">
        <v>322</v>
      </c>
      <c r="C97" s="1" t="s">
        <v>330</v>
      </c>
      <c r="D97" s="1" t="s">
        <v>331</v>
      </c>
      <c r="E97" s="1" t="s">
        <v>332</v>
      </c>
      <c r="F97" s="3" t="s">
        <v>15</v>
      </c>
      <c r="G97" s="5">
        <v>1</v>
      </c>
      <c r="H97" s="3" t="s">
        <v>16</v>
      </c>
      <c r="I97" s="3"/>
      <c r="J97" s="22"/>
      <c r="K97" s="56" t="s">
        <v>816</v>
      </c>
      <c r="L97" s="56" t="s">
        <v>916</v>
      </c>
      <c r="M97" s="56" t="s">
        <v>996</v>
      </c>
    </row>
    <row r="98" spans="1:13" ht="58.8" thickTop="1" thickBot="1" x14ac:dyDescent="0.35">
      <c r="A98" s="21" t="s">
        <v>333</v>
      </c>
      <c r="B98" s="2" t="s">
        <v>322</v>
      </c>
      <c r="C98" s="2" t="s">
        <v>330</v>
      </c>
      <c r="D98" s="2" t="s">
        <v>334</v>
      </c>
      <c r="E98" s="2" t="s">
        <v>335</v>
      </c>
      <c r="F98" s="4" t="s">
        <v>15</v>
      </c>
      <c r="G98" s="6">
        <v>1</v>
      </c>
      <c r="H98" s="4" t="s">
        <v>16</v>
      </c>
      <c r="I98" s="4"/>
      <c r="J98" s="23"/>
      <c r="K98" s="56" t="s">
        <v>817</v>
      </c>
      <c r="L98" s="56" t="s">
        <v>917</v>
      </c>
      <c r="M98" s="56" t="s">
        <v>997</v>
      </c>
    </row>
    <row r="99" spans="1:13" ht="58.8" thickTop="1" thickBot="1" x14ac:dyDescent="0.35">
      <c r="A99" s="20" t="s">
        <v>336</v>
      </c>
      <c r="B99" s="1" t="s">
        <v>322</v>
      </c>
      <c r="C99" s="1" t="s">
        <v>337</v>
      </c>
      <c r="D99" s="1" t="s">
        <v>338</v>
      </c>
      <c r="E99" s="1" t="s">
        <v>339</v>
      </c>
      <c r="F99" s="3" t="s">
        <v>15</v>
      </c>
      <c r="G99" s="5">
        <v>1</v>
      </c>
      <c r="H99" s="3" t="s">
        <v>16</v>
      </c>
      <c r="I99" s="3"/>
      <c r="J99" s="22"/>
      <c r="K99" s="56" t="s">
        <v>818</v>
      </c>
      <c r="L99" s="56" t="s">
        <v>918</v>
      </c>
      <c r="M99" s="56" t="s">
        <v>998</v>
      </c>
    </row>
    <row r="100" spans="1:13" ht="58.8" thickTop="1" thickBot="1" x14ac:dyDescent="0.35">
      <c r="A100" s="21" t="s">
        <v>340</v>
      </c>
      <c r="B100" s="2" t="s">
        <v>322</v>
      </c>
      <c r="C100" s="2" t="s">
        <v>337</v>
      </c>
      <c r="D100" s="2" t="s">
        <v>341</v>
      </c>
      <c r="E100" s="2" t="s">
        <v>342</v>
      </c>
      <c r="F100" s="4" t="s">
        <v>105</v>
      </c>
      <c r="G100" s="6">
        <v>1</v>
      </c>
      <c r="H100" s="4" t="s">
        <v>16</v>
      </c>
      <c r="I100" s="4"/>
      <c r="J100" s="23"/>
      <c r="K100" s="56" t="s">
        <v>819</v>
      </c>
      <c r="L100" s="56" t="s">
        <v>919</v>
      </c>
      <c r="M100" s="56" t="s">
        <v>999</v>
      </c>
    </row>
    <row r="101" spans="1:13" ht="58.8" thickTop="1" thickBot="1" x14ac:dyDescent="0.35">
      <c r="A101" s="20" t="s">
        <v>343</v>
      </c>
      <c r="B101" s="1" t="s">
        <v>322</v>
      </c>
      <c r="C101" s="1" t="s">
        <v>344</v>
      </c>
      <c r="D101" s="1" t="s">
        <v>345</v>
      </c>
      <c r="E101" s="1" t="s">
        <v>346</v>
      </c>
      <c r="F101" s="3" t="s">
        <v>15</v>
      </c>
      <c r="G101" s="5">
        <v>1</v>
      </c>
      <c r="H101" s="3" t="s">
        <v>16</v>
      </c>
      <c r="I101" s="3"/>
      <c r="J101" s="22"/>
      <c r="K101" s="56" t="s">
        <v>820</v>
      </c>
      <c r="L101" s="56" t="s">
        <v>920</v>
      </c>
      <c r="M101" s="56" t="s">
        <v>1000</v>
      </c>
    </row>
    <row r="102" spans="1:13" ht="58.8" thickTop="1" thickBot="1" x14ac:dyDescent="0.35">
      <c r="A102" s="21" t="s">
        <v>347</v>
      </c>
      <c r="B102" s="2" t="s">
        <v>322</v>
      </c>
      <c r="C102" s="2" t="s">
        <v>301</v>
      </c>
      <c r="D102" s="2" t="s">
        <v>348</v>
      </c>
      <c r="E102" s="2" t="s">
        <v>349</v>
      </c>
      <c r="F102" s="4" t="s">
        <v>15</v>
      </c>
      <c r="G102" s="6">
        <v>1</v>
      </c>
      <c r="H102" s="4" t="s">
        <v>16</v>
      </c>
      <c r="I102" s="4"/>
      <c r="J102" s="23"/>
      <c r="K102" s="56" t="s">
        <v>821</v>
      </c>
      <c r="L102" s="56" t="s">
        <v>921</v>
      </c>
      <c r="M102" s="56" t="s">
        <v>1001</v>
      </c>
    </row>
    <row r="103" spans="1:13" ht="58.8" thickTop="1" thickBot="1" x14ac:dyDescent="0.35">
      <c r="A103" s="20" t="s">
        <v>350</v>
      </c>
      <c r="B103" s="1" t="s">
        <v>351</v>
      </c>
      <c r="C103" s="1" t="s">
        <v>352</v>
      </c>
      <c r="D103" s="1" t="s">
        <v>353</v>
      </c>
      <c r="E103" s="1" t="s">
        <v>354</v>
      </c>
      <c r="F103" s="3" t="s">
        <v>15</v>
      </c>
      <c r="G103" s="5">
        <v>1</v>
      </c>
      <c r="H103" s="3" t="s">
        <v>16</v>
      </c>
      <c r="I103" s="3"/>
      <c r="J103" s="22"/>
      <c r="K103" s="56" t="s">
        <v>822</v>
      </c>
      <c r="L103" s="56" t="s">
        <v>922</v>
      </c>
      <c r="M103" s="56" t="s">
        <v>1002</v>
      </c>
    </row>
    <row r="104" spans="1:13" ht="58.2" thickTop="1" x14ac:dyDescent="0.3">
      <c r="A104" s="27" t="s">
        <v>355</v>
      </c>
      <c r="B104" s="28" t="s">
        <v>351</v>
      </c>
      <c r="C104" s="28" t="s">
        <v>356</v>
      </c>
      <c r="D104" s="28" t="s">
        <v>357</v>
      </c>
      <c r="E104" s="28" t="s">
        <v>358</v>
      </c>
      <c r="F104" s="29" t="s">
        <v>15</v>
      </c>
      <c r="G104" s="30">
        <v>1</v>
      </c>
      <c r="H104" s="29" t="s">
        <v>16</v>
      </c>
      <c r="I104" s="29"/>
      <c r="J104" s="31"/>
      <c r="K104" s="57" t="s">
        <v>823</v>
      </c>
      <c r="L104" s="57" t="s">
        <v>923</v>
      </c>
      <c r="M104" s="57" t="s">
        <v>1003</v>
      </c>
    </row>
  </sheetData>
  <mergeCells count="7">
    <mergeCell ref="S25:U25"/>
    <mergeCell ref="S36:U36"/>
    <mergeCell ref="A2:J2"/>
    <mergeCell ref="O21:Q21"/>
    <mergeCell ref="P1:R1"/>
    <mergeCell ref="S18:U18"/>
    <mergeCell ref="A1:O1"/>
  </mergeCells>
  <conditionalFormatting sqref="F5:F104">
    <cfRule type="containsText" dxfId="8" priority="1" operator="containsText" text="P1">
      <formula>NOT(ISERROR(SEARCH("P1",F5)))</formula>
    </cfRule>
    <cfRule type="containsText" dxfId="7" priority="2" operator="containsText" text="P2">
      <formula>NOT(ISERROR(SEARCH("P2",F5)))</formula>
    </cfRule>
    <cfRule type="containsText" dxfId="6" priority="3" operator="containsText" text="P3">
      <formula>NOT(ISERROR(SEARCH("P3",F5)))</formula>
    </cfRule>
  </conditionalFormatting>
  <conditionalFormatting sqref="H5:H104">
    <cfRule type="containsText" dxfId="5" priority="4" operator="containsText" text="Not Started">
      <formula>NOT(ISERROR(SEARCH("Not Started",H5)))</formula>
    </cfRule>
    <cfRule type="containsText" dxfId="4" priority="5" operator="containsText" text="In Progress">
      <formula>NOT(ISERROR(SEARCH("In Progress",H5)))</formula>
    </cfRule>
    <cfRule type="containsText" dxfId="3" priority="6" operator="containsText" text="Completed">
      <formula>NOT(ISERROR(SEARCH("Completed",H5)))</formula>
    </cfRule>
    <cfRule type="containsText" dxfId="2" priority="7" operator="containsText" text="Blocked">
      <formula>NOT(ISERROR(SEARCH("Blocked",H5)))</formula>
    </cfRule>
  </conditionalFormatting>
  <conditionalFormatting sqref="I5:I104">
    <cfRule type="containsText" dxfId="1" priority="8" operator="containsText" text="Pass">
      <formula>NOT(ISERROR(SEARCH("Pass",I5)))</formula>
    </cfRule>
    <cfRule type="containsText" dxfId="0" priority="9" operator="containsText" text="Fail">
      <formula>NOT(ISERROR(SEARCH("Fail",I5)))</formula>
    </cfRule>
  </conditionalFormatting>
  <dataValidations count="3">
    <dataValidation type="list" allowBlank="1" showInputMessage="1" showErrorMessage="1" sqref="H5:H104" xr:uid="{45CE86AB-0544-48B3-B569-FE1B08506A8B}">
      <formula1>"Not Started,In Progress,Completed,Blocked,Deferred"</formula1>
    </dataValidation>
    <dataValidation type="list" allowBlank="1" showInputMessage="1" showErrorMessage="1" sqref="I5:I104" xr:uid="{78FC1165-7805-44BE-932F-5C6C206E8F53}">
      <formula1>"Pass,Fail,N/A"</formula1>
    </dataValidation>
    <dataValidation type="list" allowBlank="1" showInputMessage="1" showErrorMessage="1" sqref="F5:F104" xr:uid="{8B54D627-6C15-4F9C-8E0A-70F51AC7B465}">
      <formula1>"P1,P2,P3"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DA69-556C-44E7-99CA-39C6095610BA}">
  <dimension ref="A1:L125"/>
  <sheetViews>
    <sheetView topLeftCell="A19" workbookViewId="0">
      <selection activeCell="C29" sqref="C29"/>
    </sheetView>
  </sheetViews>
  <sheetFormatPr defaultRowHeight="14.4" x14ac:dyDescent="0.3"/>
  <cols>
    <col min="1" max="1" width="11.109375" customWidth="1"/>
    <col min="2" max="2" width="25.88671875" customWidth="1"/>
    <col min="3" max="3" width="33.33203125" customWidth="1"/>
    <col min="4" max="5" width="18.5546875" customWidth="1"/>
    <col min="6" max="6" width="14.77734375" customWidth="1"/>
    <col min="7" max="7" width="22.21875" customWidth="1"/>
  </cols>
  <sheetData>
    <row r="1" spans="1:12" ht="23.4" x14ac:dyDescent="0.45">
      <c r="A1" s="80" t="s">
        <v>457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12" ht="15.6" x14ac:dyDescent="0.3">
      <c r="A2" s="81" t="s">
        <v>458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4" spans="1:12" ht="18" x14ac:dyDescent="0.35">
      <c r="A4" s="77" t="s">
        <v>459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6" spans="1:12" x14ac:dyDescent="0.3">
      <c r="A6" s="8" t="s">
        <v>460</v>
      </c>
      <c r="B6" s="8" t="s">
        <v>461</v>
      </c>
      <c r="C6" s="8" t="s">
        <v>462</v>
      </c>
      <c r="D6" s="8" t="s">
        <v>7</v>
      </c>
      <c r="E6" s="8" t="s">
        <v>463</v>
      </c>
      <c r="F6" s="8" t="s">
        <v>9</v>
      </c>
    </row>
    <row r="7" spans="1:12" x14ac:dyDescent="0.3">
      <c r="A7" s="9">
        <v>1.1000000000000001</v>
      </c>
      <c r="B7" s="9" t="s">
        <v>464</v>
      </c>
      <c r="C7" s="9" t="s">
        <v>465</v>
      </c>
      <c r="D7" s="9" t="s">
        <v>466</v>
      </c>
      <c r="E7" s="9"/>
      <c r="F7" s="9"/>
    </row>
    <row r="8" spans="1:12" x14ac:dyDescent="0.3">
      <c r="A8" s="9">
        <v>1.2</v>
      </c>
      <c r="B8" s="9" t="s">
        <v>467</v>
      </c>
      <c r="C8" s="9" t="s">
        <v>468</v>
      </c>
      <c r="D8" s="9" t="s">
        <v>466</v>
      </c>
      <c r="E8" s="9"/>
      <c r="F8" s="9"/>
    </row>
    <row r="9" spans="1:12" x14ac:dyDescent="0.3">
      <c r="A9" s="9">
        <v>1.3</v>
      </c>
      <c r="B9" s="9" t="s">
        <v>469</v>
      </c>
      <c r="C9" s="9" t="s">
        <v>470</v>
      </c>
      <c r="D9" s="9" t="s">
        <v>466</v>
      </c>
      <c r="E9" s="9"/>
      <c r="F9" s="9"/>
    </row>
    <row r="10" spans="1:12" x14ac:dyDescent="0.3">
      <c r="A10" s="9">
        <v>1.4</v>
      </c>
      <c r="B10" s="9" t="s">
        <v>471</v>
      </c>
      <c r="C10" s="9" t="s">
        <v>442</v>
      </c>
      <c r="D10" s="9" t="s">
        <v>466</v>
      </c>
      <c r="E10" s="9"/>
      <c r="F10" s="9"/>
    </row>
    <row r="11" spans="1:12" x14ac:dyDescent="0.3">
      <c r="A11" s="9">
        <v>1.5</v>
      </c>
      <c r="B11" s="9" t="s">
        <v>472</v>
      </c>
      <c r="C11" s="9" t="s">
        <v>442</v>
      </c>
      <c r="D11" s="9" t="s">
        <v>466</v>
      </c>
      <c r="E11" s="9"/>
      <c r="F11" s="9"/>
    </row>
    <row r="12" spans="1:12" x14ac:dyDescent="0.3">
      <c r="A12" s="9">
        <v>1.6</v>
      </c>
      <c r="B12" s="9" t="s">
        <v>473</v>
      </c>
      <c r="C12" s="9" t="s">
        <v>442</v>
      </c>
      <c r="D12" s="9" t="s">
        <v>466</v>
      </c>
      <c r="E12" s="9"/>
      <c r="F12" s="9"/>
    </row>
    <row r="13" spans="1:12" x14ac:dyDescent="0.3">
      <c r="A13" s="9">
        <v>1.7</v>
      </c>
      <c r="B13" s="9" t="s">
        <v>474</v>
      </c>
      <c r="C13" s="9" t="s">
        <v>442</v>
      </c>
      <c r="D13" s="9" t="s">
        <v>466</v>
      </c>
      <c r="E13" s="9"/>
      <c r="F13" s="9"/>
    </row>
    <row r="14" spans="1:12" x14ac:dyDescent="0.3">
      <c r="A14" s="9">
        <v>1.8</v>
      </c>
      <c r="B14" s="9" t="s">
        <v>475</v>
      </c>
      <c r="C14" s="9" t="s">
        <v>442</v>
      </c>
      <c r="D14" s="9" t="s">
        <v>466</v>
      </c>
      <c r="E14" s="9"/>
      <c r="F14" s="9"/>
    </row>
    <row r="15" spans="1:12" x14ac:dyDescent="0.3">
      <c r="A15" s="9">
        <v>1.9</v>
      </c>
      <c r="B15" s="9" t="s">
        <v>476</v>
      </c>
      <c r="C15" s="9" t="s">
        <v>442</v>
      </c>
      <c r="D15" s="9" t="s">
        <v>466</v>
      </c>
      <c r="E15" s="9"/>
      <c r="F15" s="9"/>
    </row>
    <row r="16" spans="1:12" x14ac:dyDescent="0.3">
      <c r="A16" s="9">
        <v>1.1000000000000001</v>
      </c>
      <c r="B16" s="9" t="s">
        <v>477</v>
      </c>
      <c r="C16" s="9" t="s">
        <v>468</v>
      </c>
      <c r="D16" s="9" t="s">
        <v>466</v>
      </c>
      <c r="E16" s="9"/>
      <c r="F16" s="9"/>
    </row>
    <row r="18" spans="1:12" ht="18" x14ac:dyDescent="0.35">
      <c r="A18" s="77" t="s">
        <v>478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</row>
    <row r="20" spans="1:12" x14ac:dyDescent="0.3">
      <c r="A20" s="8" t="s">
        <v>460</v>
      </c>
      <c r="B20" s="8" t="s">
        <v>479</v>
      </c>
      <c r="C20" s="8" t="s">
        <v>480</v>
      </c>
      <c r="D20" s="8" t="s">
        <v>481</v>
      </c>
      <c r="E20" s="8" t="s">
        <v>7</v>
      </c>
      <c r="F20" s="8" t="s">
        <v>8</v>
      </c>
      <c r="G20" s="8" t="s">
        <v>482</v>
      </c>
    </row>
    <row r="21" spans="1:12" x14ac:dyDescent="0.3">
      <c r="A21" s="9">
        <v>2.1</v>
      </c>
      <c r="B21" s="9" t="s">
        <v>12</v>
      </c>
      <c r="C21" s="9" t="s">
        <v>483</v>
      </c>
      <c r="D21" s="9" t="s">
        <v>26</v>
      </c>
      <c r="E21" s="9" t="s">
        <v>484</v>
      </c>
      <c r="F21" s="9"/>
      <c r="G21" s="9"/>
    </row>
    <row r="22" spans="1:12" x14ac:dyDescent="0.3">
      <c r="A22" s="9">
        <v>2.2000000000000002</v>
      </c>
      <c r="B22" s="9" t="s">
        <v>12</v>
      </c>
      <c r="C22" s="9" t="s">
        <v>485</v>
      </c>
      <c r="D22" s="9" t="s">
        <v>20</v>
      </c>
      <c r="E22" s="9" t="s">
        <v>484</v>
      </c>
      <c r="F22" s="9"/>
      <c r="G22" s="9"/>
    </row>
    <row r="23" spans="1:12" x14ac:dyDescent="0.3">
      <c r="A23" s="9">
        <v>2.2999999999999998</v>
      </c>
      <c r="B23" s="9" t="s">
        <v>12</v>
      </c>
      <c r="C23" s="9" t="s">
        <v>486</v>
      </c>
      <c r="D23" s="9" t="s">
        <v>10</v>
      </c>
      <c r="E23" s="9" t="s">
        <v>484</v>
      </c>
      <c r="F23" s="9"/>
      <c r="G23" s="9"/>
    </row>
    <row r="24" spans="1:12" x14ac:dyDescent="0.3">
      <c r="A24" s="9">
        <v>2.4</v>
      </c>
      <c r="B24" s="9" t="s">
        <v>12</v>
      </c>
      <c r="C24" s="9" t="s">
        <v>487</v>
      </c>
      <c r="D24" s="9" t="s">
        <v>29</v>
      </c>
      <c r="E24" s="9" t="s">
        <v>484</v>
      </c>
      <c r="F24" s="9"/>
      <c r="G24" s="9"/>
    </row>
    <row r="25" spans="1:12" x14ac:dyDescent="0.3">
      <c r="A25" s="9">
        <v>2.5</v>
      </c>
      <c r="B25" s="9" t="s">
        <v>12</v>
      </c>
      <c r="C25" s="9" t="s">
        <v>488</v>
      </c>
      <c r="D25" s="9" t="s">
        <v>23</v>
      </c>
      <c r="E25" s="9" t="s">
        <v>484</v>
      </c>
      <c r="F25" s="9"/>
      <c r="G25" s="9"/>
    </row>
    <row r="26" spans="1:12" x14ac:dyDescent="0.3">
      <c r="A26" s="9">
        <v>2.6</v>
      </c>
      <c r="B26" s="9" t="s">
        <v>12</v>
      </c>
      <c r="C26" s="9" t="s">
        <v>489</v>
      </c>
      <c r="D26" s="9" t="s">
        <v>17</v>
      </c>
      <c r="E26" s="9" t="s">
        <v>484</v>
      </c>
      <c r="F26" s="9"/>
      <c r="G26" s="9"/>
    </row>
    <row r="27" spans="1:12" x14ac:dyDescent="0.3">
      <c r="A27" s="9">
        <v>2.7</v>
      </c>
      <c r="B27" s="9" t="s">
        <v>34</v>
      </c>
      <c r="C27" s="9" t="s">
        <v>490</v>
      </c>
      <c r="D27" s="9" t="s">
        <v>491</v>
      </c>
      <c r="E27" s="9" t="s">
        <v>484</v>
      </c>
      <c r="F27" s="9"/>
      <c r="G27" s="9"/>
    </row>
    <row r="28" spans="1:12" x14ac:dyDescent="0.3">
      <c r="A28" s="9">
        <v>2.8</v>
      </c>
      <c r="B28" s="9" t="s">
        <v>34</v>
      </c>
      <c r="C28" s="9" t="s">
        <v>492</v>
      </c>
      <c r="D28" s="9" t="s">
        <v>493</v>
      </c>
      <c r="E28" s="9" t="s">
        <v>484</v>
      </c>
      <c r="F28" s="9"/>
      <c r="G28" s="9"/>
    </row>
    <row r="29" spans="1:12" x14ac:dyDescent="0.3">
      <c r="A29" s="9">
        <v>2.9</v>
      </c>
      <c r="B29" s="9" t="s">
        <v>34</v>
      </c>
      <c r="C29" s="9" t="s">
        <v>494</v>
      </c>
      <c r="D29" s="9" t="s">
        <v>495</v>
      </c>
      <c r="E29" s="9" t="s">
        <v>484</v>
      </c>
      <c r="F29" s="9"/>
      <c r="G29" s="9"/>
    </row>
    <row r="30" spans="1:12" x14ac:dyDescent="0.3">
      <c r="A30" s="9">
        <v>2.1</v>
      </c>
      <c r="B30" s="9" t="s">
        <v>34</v>
      </c>
      <c r="C30" s="9" t="s">
        <v>496</v>
      </c>
      <c r="D30" s="9" t="s">
        <v>52</v>
      </c>
      <c r="E30" s="9" t="s">
        <v>484</v>
      </c>
      <c r="F30" s="9"/>
      <c r="G30" s="9"/>
    </row>
    <row r="31" spans="1:12" x14ac:dyDescent="0.3">
      <c r="A31" s="9">
        <v>2.11</v>
      </c>
      <c r="B31" s="9" t="s">
        <v>56</v>
      </c>
      <c r="C31" s="9" t="s">
        <v>497</v>
      </c>
      <c r="D31" s="9" t="s">
        <v>498</v>
      </c>
      <c r="E31" s="9" t="s">
        <v>484</v>
      </c>
      <c r="F31" s="9"/>
      <c r="G31" s="9"/>
    </row>
    <row r="32" spans="1:12" x14ac:dyDescent="0.3">
      <c r="A32" s="9">
        <v>2.12</v>
      </c>
      <c r="B32" s="9" t="s">
        <v>56</v>
      </c>
      <c r="C32" s="9" t="s">
        <v>499</v>
      </c>
      <c r="D32" s="9" t="s">
        <v>500</v>
      </c>
      <c r="E32" s="9" t="s">
        <v>484</v>
      </c>
      <c r="F32" s="9"/>
      <c r="G32" s="9"/>
    </row>
    <row r="33" spans="1:7" x14ac:dyDescent="0.3">
      <c r="A33" s="9">
        <v>2.13</v>
      </c>
      <c r="B33" s="9" t="s">
        <v>56</v>
      </c>
      <c r="C33" s="9" t="s">
        <v>501</v>
      </c>
      <c r="D33" s="9" t="s">
        <v>502</v>
      </c>
      <c r="E33" s="9" t="s">
        <v>484</v>
      </c>
      <c r="F33" s="9"/>
      <c r="G33" s="9"/>
    </row>
    <row r="34" spans="1:7" x14ac:dyDescent="0.3">
      <c r="A34" s="9">
        <v>2.14</v>
      </c>
      <c r="B34" s="9" t="s">
        <v>76</v>
      </c>
      <c r="C34" s="9" t="s">
        <v>503</v>
      </c>
      <c r="D34" s="9" t="s">
        <v>74</v>
      </c>
      <c r="E34" s="9" t="s">
        <v>484</v>
      </c>
      <c r="F34" s="9"/>
      <c r="G34" s="9"/>
    </row>
    <row r="35" spans="1:7" x14ac:dyDescent="0.3">
      <c r="A35" s="9">
        <v>2.15</v>
      </c>
      <c r="B35" s="9" t="s">
        <v>76</v>
      </c>
      <c r="C35" s="9" t="s">
        <v>504</v>
      </c>
      <c r="D35" s="9" t="s">
        <v>79</v>
      </c>
      <c r="E35" s="9" t="s">
        <v>484</v>
      </c>
      <c r="F35" s="9"/>
      <c r="G35" s="9"/>
    </row>
    <row r="36" spans="1:7" x14ac:dyDescent="0.3">
      <c r="A36" s="9">
        <v>2.16</v>
      </c>
      <c r="B36" s="9" t="s">
        <v>76</v>
      </c>
      <c r="C36" s="9" t="s">
        <v>505</v>
      </c>
      <c r="D36" s="9" t="s">
        <v>82</v>
      </c>
      <c r="E36" s="9" t="s">
        <v>484</v>
      </c>
      <c r="F36" s="9"/>
      <c r="G36" s="9"/>
    </row>
    <row r="37" spans="1:7" x14ac:dyDescent="0.3">
      <c r="A37" s="9">
        <v>2.17</v>
      </c>
      <c r="B37" s="9" t="s">
        <v>76</v>
      </c>
      <c r="C37" s="9" t="s">
        <v>506</v>
      </c>
      <c r="D37" s="9" t="s">
        <v>85</v>
      </c>
      <c r="E37" s="9" t="s">
        <v>484</v>
      </c>
      <c r="F37" s="9"/>
      <c r="G37" s="9"/>
    </row>
    <row r="38" spans="1:7" x14ac:dyDescent="0.3">
      <c r="A38" s="9">
        <v>2.1800000000000002</v>
      </c>
      <c r="B38" s="9" t="s">
        <v>76</v>
      </c>
      <c r="C38" s="9" t="s">
        <v>507</v>
      </c>
      <c r="D38" s="9" t="s">
        <v>88</v>
      </c>
      <c r="E38" s="9" t="s">
        <v>484</v>
      </c>
      <c r="F38" s="9"/>
      <c r="G38" s="9"/>
    </row>
    <row r="39" spans="1:7" x14ac:dyDescent="0.3">
      <c r="A39" s="9">
        <v>2.19</v>
      </c>
      <c r="B39" s="9" t="s">
        <v>92</v>
      </c>
      <c r="C39" s="9" t="s">
        <v>508</v>
      </c>
      <c r="D39" s="9" t="s">
        <v>91</v>
      </c>
      <c r="E39" s="9" t="s">
        <v>484</v>
      </c>
      <c r="F39" s="9"/>
      <c r="G39" s="9"/>
    </row>
    <row r="40" spans="1:7" x14ac:dyDescent="0.3">
      <c r="A40" s="9">
        <v>2.2000000000000002</v>
      </c>
      <c r="B40" s="9" t="s">
        <v>92</v>
      </c>
      <c r="C40" s="9" t="s">
        <v>509</v>
      </c>
      <c r="D40" s="9" t="s">
        <v>510</v>
      </c>
      <c r="E40" s="9" t="s">
        <v>484</v>
      </c>
      <c r="F40" s="9"/>
      <c r="G40" s="9"/>
    </row>
    <row r="41" spans="1:7" x14ac:dyDescent="0.3">
      <c r="A41" s="9">
        <v>2.21</v>
      </c>
      <c r="B41" s="9" t="s">
        <v>92</v>
      </c>
      <c r="C41" s="9" t="s">
        <v>511</v>
      </c>
      <c r="D41" s="9" t="s">
        <v>512</v>
      </c>
      <c r="E41" s="9" t="s">
        <v>484</v>
      </c>
      <c r="F41" s="9"/>
      <c r="G41" s="9"/>
    </row>
    <row r="42" spans="1:7" x14ac:dyDescent="0.3">
      <c r="A42" s="9">
        <v>2.2200000000000002</v>
      </c>
      <c r="B42" s="9" t="s">
        <v>113</v>
      </c>
      <c r="C42" s="9" t="s">
        <v>513</v>
      </c>
      <c r="D42" s="9" t="s">
        <v>112</v>
      </c>
      <c r="E42" s="9" t="s">
        <v>484</v>
      </c>
      <c r="F42" s="9"/>
      <c r="G42" s="9"/>
    </row>
    <row r="43" spans="1:7" x14ac:dyDescent="0.3">
      <c r="A43" s="9">
        <v>2.23</v>
      </c>
      <c r="B43" s="9" t="s">
        <v>113</v>
      </c>
      <c r="C43" s="9" t="s">
        <v>514</v>
      </c>
      <c r="D43" s="9" t="s">
        <v>515</v>
      </c>
      <c r="E43" s="9" t="s">
        <v>484</v>
      </c>
      <c r="F43" s="9"/>
      <c r="G43" s="9"/>
    </row>
    <row r="44" spans="1:7" x14ac:dyDescent="0.3">
      <c r="A44" s="9">
        <v>2.2400000000000002</v>
      </c>
      <c r="B44" s="9" t="s">
        <v>113</v>
      </c>
      <c r="C44" s="9" t="s">
        <v>516</v>
      </c>
      <c r="D44" s="9" t="s">
        <v>517</v>
      </c>
      <c r="E44" s="9" t="s">
        <v>484</v>
      </c>
      <c r="F44" s="9"/>
      <c r="G44" s="9"/>
    </row>
    <row r="45" spans="1:7" x14ac:dyDescent="0.3">
      <c r="A45" s="9">
        <v>2.25</v>
      </c>
      <c r="B45" s="9" t="s">
        <v>113</v>
      </c>
      <c r="C45" s="9" t="s">
        <v>518</v>
      </c>
      <c r="D45" s="9" t="s">
        <v>129</v>
      </c>
      <c r="E45" s="9" t="s">
        <v>484</v>
      </c>
      <c r="F45" s="9"/>
      <c r="G45" s="9"/>
    </row>
    <row r="46" spans="1:7" x14ac:dyDescent="0.3">
      <c r="A46" s="9">
        <v>2.2599999999999998</v>
      </c>
      <c r="B46" s="9" t="s">
        <v>133</v>
      </c>
      <c r="C46" s="9" t="s">
        <v>519</v>
      </c>
      <c r="D46" s="9" t="s">
        <v>520</v>
      </c>
      <c r="E46" s="9" t="s">
        <v>484</v>
      </c>
      <c r="F46" s="9"/>
      <c r="G46" s="9"/>
    </row>
    <row r="47" spans="1:7" x14ac:dyDescent="0.3">
      <c r="A47" s="9">
        <v>2.27</v>
      </c>
      <c r="B47" s="9" t="s">
        <v>133</v>
      </c>
      <c r="C47" s="9" t="s">
        <v>521</v>
      </c>
      <c r="D47" s="9" t="s">
        <v>522</v>
      </c>
      <c r="E47" s="9" t="s">
        <v>484</v>
      </c>
      <c r="F47" s="9"/>
      <c r="G47" s="9"/>
    </row>
    <row r="48" spans="1:7" x14ac:dyDescent="0.3">
      <c r="A48" s="9">
        <v>2.2799999999999998</v>
      </c>
      <c r="B48" s="9" t="s">
        <v>133</v>
      </c>
      <c r="C48" s="9" t="s">
        <v>523</v>
      </c>
      <c r="D48" s="9" t="s">
        <v>524</v>
      </c>
      <c r="E48" s="9" t="s">
        <v>484</v>
      </c>
      <c r="F48" s="9"/>
      <c r="G48" s="9"/>
    </row>
    <row r="49" spans="1:12" x14ac:dyDescent="0.3">
      <c r="A49" s="9">
        <v>2.29</v>
      </c>
      <c r="B49" s="9" t="s">
        <v>158</v>
      </c>
      <c r="C49" s="9" t="s">
        <v>525</v>
      </c>
      <c r="D49" s="9" t="s">
        <v>526</v>
      </c>
      <c r="E49" s="9" t="s">
        <v>484</v>
      </c>
      <c r="F49" s="9"/>
      <c r="G49" s="9"/>
    </row>
    <row r="50" spans="1:12" x14ac:dyDescent="0.3">
      <c r="A50" s="9">
        <v>2.2999999999999998</v>
      </c>
      <c r="B50" s="9" t="s">
        <v>158</v>
      </c>
      <c r="C50" s="9" t="s">
        <v>527</v>
      </c>
      <c r="D50" s="9" t="s">
        <v>177</v>
      </c>
      <c r="E50" s="9" t="s">
        <v>484</v>
      </c>
      <c r="F50" s="9"/>
      <c r="G50" s="9"/>
    </row>
    <row r="51" spans="1:12" x14ac:dyDescent="0.3">
      <c r="A51" s="9">
        <v>2.31</v>
      </c>
      <c r="B51" s="9" t="s">
        <v>183</v>
      </c>
      <c r="C51" s="9" t="s">
        <v>528</v>
      </c>
      <c r="D51" s="9" t="s">
        <v>529</v>
      </c>
      <c r="E51" s="9" t="s">
        <v>484</v>
      </c>
      <c r="F51" s="9"/>
      <c r="G51" s="9"/>
    </row>
    <row r="52" spans="1:12" x14ac:dyDescent="0.3">
      <c r="A52" s="9">
        <v>2.3199999999999998</v>
      </c>
      <c r="B52" s="9" t="s">
        <v>206</v>
      </c>
      <c r="C52" s="9" t="s">
        <v>530</v>
      </c>
      <c r="D52" s="9" t="s">
        <v>531</v>
      </c>
      <c r="E52" s="9" t="s">
        <v>484</v>
      </c>
      <c r="F52" s="9"/>
      <c r="G52" s="9"/>
    </row>
    <row r="53" spans="1:12" x14ac:dyDescent="0.3">
      <c r="A53" s="9">
        <v>2.33</v>
      </c>
      <c r="B53" s="9" t="s">
        <v>216</v>
      </c>
      <c r="C53" s="9" t="s">
        <v>532</v>
      </c>
      <c r="D53" s="9" t="s">
        <v>533</v>
      </c>
      <c r="E53" s="9" t="s">
        <v>484</v>
      </c>
      <c r="F53" s="9"/>
      <c r="G53" s="9"/>
    </row>
    <row r="54" spans="1:12" x14ac:dyDescent="0.3">
      <c r="A54" s="9">
        <v>2.34</v>
      </c>
      <c r="B54" s="9" t="s">
        <v>230</v>
      </c>
      <c r="C54" s="9" t="s">
        <v>534</v>
      </c>
      <c r="D54" s="9" t="s">
        <v>535</v>
      </c>
      <c r="E54" s="9" t="s">
        <v>484</v>
      </c>
      <c r="F54" s="9"/>
      <c r="G54" s="9"/>
    </row>
    <row r="56" spans="1:12" ht="18" x14ac:dyDescent="0.35">
      <c r="A56" s="77" t="s">
        <v>536</v>
      </c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</row>
    <row r="58" spans="1:12" x14ac:dyDescent="0.3">
      <c r="A58" s="8" t="s">
        <v>460</v>
      </c>
      <c r="B58" s="8" t="s">
        <v>537</v>
      </c>
      <c r="C58" s="8" t="s">
        <v>538</v>
      </c>
      <c r="D58" s="8" t="s">
        <v>539</v>
      </c>
      <c r="E58" s="8" t="s">
        <v>7</v>
      </c>
      <c r="F58" s="8" t="s">
        <v>540</v>
      </c>
      <c r="G58" s="8" t="s">
        <v>541</v>
      </c>
    </row>
    <row r="59" spans="1:12" x14ac:dyDescent="0.3">
      <c r="A59" s="9">
        <v>3.1</v>
      </c>
      <c r="B59" s="9" t="s">
        <v>247</v>
      </c>
      <c r="C59" s="9" t="s">
        <v>250</v>
      </c>
      <c r="D59" s="9" t="s">
        <v>246</v>
      </c>
      <c r="E59" s="9" t="s">
        <v>484</v>
      </c>
      <c r="F59" s="9"/>
      <c r="G59" s="9"/>
    </row>
    <row r="60" spans="1:12" x14ac:dyDescent="0.3">
      <c r="A60" s="9">
        <v>3.2</v>
      </c>
      <c r="B60" s="9" t="s">
        <v>247</v>
      </c>
      <c r="C60" s="9" t="s">
        <v>253</v>
      </c>
      <c r="D60" s="9" t="s">
        <v>251</v>
      </c>
      <c r="E60" s="9" t="s">
        <v>484</v>
      </c>
      <c r="F60" s="9"/>
      <c r="G60" s="9"/>
    </row>
    <row r="61" spans="1:12" x14ac:dyDescent="0.3">
      <c r="A61" s="9">
        <v>3.3</v>
      </c>
      <c r="B61" s="9" t="s">
        <v>247</v>
      </c>
      <c r="C61" s="9" t="s">
        <v>542</v>
      </c>
      <c r="D61" s="9" t="s">
        <v>254</v>
      </c>
      <c r="E61" s="9" t="s">
        <v>484</v>
      </c>
      <c r="F61" s="9"/>
      <c r="G61" s="9"/>
    </row>
    <row r="62" spans="1:12" x14ac:dyDescent="0.3">
      <c r="A62" s="9">
        <v>3.4</v>
      </c>
      <c r="B62" s="9" t="s">
        <v>247</v>
      </c>
      <c r="C62" s="9" t="s">
        <v>259</v>
      </c>
      <c r="D62" s="9" t="s">
        <v>257</v>
      </c>
      <c r="E62" s="9" t="s">
        <v>484</v>
      </c>
      <c r="F62" s="9"/>
      <c r="G62" s="9"/>
    </row>
    <row r="63" spans="1:12" x14ac:dyDescent="0.3">
      <c r="A63" s="9">
        <v>3.5</v>
      </c>
      <c r="B63" s="9" t="s">
        <v>247</v>
      </c>
      <c r="C63" s="9" t="s">
        <v>543</v>
      </c>
      <c r="D63" s="9" t="s">
        <v>260</v>
      </c>
      <c r="E63" s="9" t="s">
        <v>484</v>
      </c>
      <c r="F63" s="9"/>
      <c r="G63" s="9"/>
    </row>
    <row r="64" spans="1:12" x14ac:dyDescent="0.3">
      <c r="A64" s="9">
        <v>3.6</v>
      </c>
      <c r="B64" s="9" t="s">
        <v>264</v>
      </c>
      <c r="C64" s="9" t="s">
        <v>544</v>
      </c>
      <c r="D64" s="9" t="s">
        <v>263</v>
      </c>
      <c r="E64" s="9" t="s">
        <v>484</v>
      </c>
      <c r="F64" s="9"/>
      <c r="G64" s="9"/>
    </row>
    <row r="65" spans="1:12" x14ac:dyDescent="0.3">
      <c r="A65" s="9">
        <v>3.7</v>
      </c>
      <c r="B65" s="9" t="s">
        <v>264</v>
      </c>
      <c r="C65" s="9" t="s">
        <v>545</v>
      </c>
      <c r="D65" s="9" t="s">
        <v>268</v>
      </c>
      <c r="E65" s="9" t="s">
        <v>484</v>
      </c>
      <c r="F65" s="9"/>
      <c r="G65" s="9"/>
    </row>
    <row r="66" spans="1:12" x14ac:dyDescent="0.3">
      <c r="A66" s="9">
        <v>3.8</v>
      </c>
      <c r="B66" s="9" t="s">
        <v>264</v>
      </c>
      <c r="C66" s="9" t="s">
        <v>546</v>
      </c>
      <c r="D66" s="9" t="s">
        <v>271</v>
      </c>
      <c r="E66" s="9" t="s">
        <v>484</v>
      </c>
      <c r="F66" s="9"/>
      <c r="G66" s="9"/>
    </row>
    <row r="67" spans="1:12" x14ac:dyDescent="0.3">
      <c r="A67" s="9">
        <v>3.9</v>
      </c>
      <c r="B67" s="9" t="s">
        <v>264</v>
      </c>
      <c r="C67" s="9" t="s">
        <v>547</v>
      </c>
      <c r="D67" s="9" t="s">
        <v>275</v>
      </c>
      <c r="E67" s="9" t="s">
        <v>484</v>
      </c>
      <c r="F67" s="9"/>
      <c r="G67" s="9"/>
    </row>
    <row r="68" spans="1:12" x14ac:dyDescent="0.3">
      <c r="A68" s="9">
        <v>3.1</v>
      </c>
      <c r="B68" s="9" t="s">
        <v>264</v>
      </c>
      <c r="C68" s="9" t="s">
        <v>548</v>
      </c>
      <c r="D68" s="9" t="s">
        <v>279</v>
      </c>
      <c r="E68" s="9" t="s">
        <v>484</v>
      </c>
      <c r="F68" s="9"/>
      <c r="G68" s="9"/>
    </row>
    <row r="69" spans="1:12" x14ac:dyDescent="0.3">
      <c r="A69" s="9">
        <v>3.11</v>
      </c>
      <c r="B69" s="9" t="s">
        <v>283</v>
      </c>
      <c r="C69" s="9" t="s">
        <v>549</v>
      </c>
      <c r="D69" s="9" t="s">
        <v>282</v>
      </c>
      <c r="E69" s="9" t="s">
        <v>484</v>
      </c>
      <c r="F69" s="9"/>
      <c r="G69" s="9"/>
    </row>
    <row r="70" spans="1:12" x14ac:dyDescent="0.3">
      <c r="A70" s="9">
        <v>3.12</v>
      </c>
      <c r="B70" s="9" t="s">
        <v>283</v>
      </c>
      <c r="C70" s="9" t="s">
        <v>550</v>
      </c>
      <c r="D70" s="9" t="s">
        <v>287</v>
      </c>
      <c r="E70" s="9" t="s">
        <v>484</v>
      </c>
      <c r="F70" s="9"/>
      <c r="G70" s="9"/>
    </row>
    <row r="71" spans="1:12" x14ac:dyDescent="0.3">
      <c r="A71" s="9">
        <v>3.13</v>
      </c>
      <c r="B71" s="9" t="s">
        <v>283</v>
      </c>
      <c r="C71" s="9" t="s">
        <v>551</v>
      </c>
      <c r="D71" s="9" t="s">
        <v>290</v>
      </c>
      <c r="E71" s="9" t="s">
        <v>484</v>
      </c>
      <c r="F71" s="9"/>
      <c r="G71" s="9"/>
    </row>
    <row r="72" spans="1:12" x14ac:dyDescent="0.3">
      <c r="A72" s="9">
        <v>3.14</v>
      </c>
      <c r="B72" s="9" t="s">
        <v>283</v>
      </c>
      <c r="C72" s="9" t="s">
        <v>552</v>
      </c>
      <c r="D72" s="9" t="s">
        <v>294</v>
      </c>
      <c r="E72" s="9" t="s">
        <v>484</v>
      </c>
      <c r="F72" s="9"/>
      <c r="G72" s="9"/>
    </row>
    <row r="73" spans="1:12" x14ac:dyDescent="0.3">
      <c r="A73" s="9">
        <v>3.15</v>
      </c>
      <c r="B73" s="9" t="s">
        <v>283</v>
      </c>
      <c r="C73" s="9" t="s">
        <v>553</v>
      </c>
      <c r="D73" s="9" t="s">
        <v>297</v>
      </c>
      <c r="E73" s="9" t="s">
        <v>484</v>
      </c>
      <c r="F73" s="9"/>
      <c r="G73" s="9"/>
    </row>
    <row r="75" spans="1:12" ht="18" x14ac:dyDescent="0.35">
      <c r="A75" s="77" t="s">
        <v>554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</row>
    <row r="77" spans="1:12" x14ac:dyDescent="0.3">
      <c r="A77" s="8" t="s">
        <v>460</v>
      </c>
      <c r="B77" s="8" t="s">
        <v>555</v>
      </c>
      <c r="C77" s="8" t="s">
        <v>479</v>
      </c>
      <c r="D77" s="8" t="s">
        <v>539</v>
      </c>
      <c r="E77" s="8" t="s">
        <v>7</v>
      </c>
      <c r="F77" s="8" t="s">
        <v>540</v>
      </c>
      <c r="G77" s="8" t="s">
        <v>482</v>
      </c>
    </row>
    <row r="78" spans="1:12" x14ac:dyDescent="0.3">
      <c r="A78" s="9">
        <v>4.0999999999999996</v>
      </c>
      <c r="B78" s="9" t="s">
        <v>323</v>
      </c>
      <c r="C78" s="9" t="s">
        <v>556</v>
      </c>
      <c r="D78" s="9" t="s">
        <v>321</v>
      </c>
      <c r="E78" s="9" t="s">
        <v>484</v>
      </c>
      <c r="F78" s="9"/>
      <c r="G78" s="9"/>
    </row>
    <row r="79" spans="1:12" x14ac:dyDescent="0.3">
      <c r="A79" s="9">
        <v>4.2</v>
      </c>
      <c r="B79" s="9" t="s">
        <v>323</v>
      </c>
      <c r="C79" s="9" t="s">
        <v>557</v>
      </c>
      <c r="D79" s="9" t="s">
        <v>326</v>
      </c>
      <c r="E79" s="9" t="s">
        <v>484</v>
      </c>
      <c r="F79" s="9"/>
      <c r="G79" s="9"/>
    </row>
    <row r="80" spans="1:12" x14ac:dyDescent="0.3">
      <c r="A80" s="9">
        <v>4.3</v>
      </c>
      <c r="B80" s="9" t="s">
        <v>330</v>
      </c>
      <c r="C80" s="9" t="s">
        <v>556</v>
      </c>
      <c r="D80" s="9" t="s">
        <v>329</v>
      </c>
      <c r="E80" s="9" t="s">
        <v>484</v>
      </c>
      <c r="F80" s="9"/>
      <c r="G80" s="9"/>
    </row>
    <row r="81" spans="1:12" x14ac:dyDescent="0.3">
      <c r="A81" s="9">
        <v>4.4000000000000004</v>
      </c>
      <c r="B81" s="9" t="s">
        <v>330</v>
      </c>
      <c r="C81" s="9" t="s">
        <v>558</v>
      </c>
      <c r="D81" s="9" t="s">
        <v>333</v>
      </c>
      <c r="E81" s="9" t="s">
        <v>484</v>
      </c>
      <c r="F81" s="9"/>
      <c r="G81" s="9"/>
    </row>
    <row r="82" spans="1:12" x14ac:dyDescent="0.3">
      <c r="A82" s="9">
        <v>4.5</v>
      </c>
      <c r="B82" s="9" t="s">
        <v>337</v>
      </c>
      <c r="C82" s="9" t="s">
        <v>339</v>
      </c>
      <c r="D82" s="9" t="s">
        <v>336</v>
      </c>
      <c r="E82" s="9" t="s">
        <v>484</v>
      </c>
      <c r="F82" s="9"/>
      <c r="G82" s="9"/>
    </row>
    <row r="83" spans="1:12" x14ac:dyDescent="0.3">
      <c r="A83" s="9">
        <v>4.5999999999999996</v>
      </c>
      <c r="B83" s="9" t="s">
        <v>337</v>
      </c>
      <c r="C83" s="9" t="s">
        <v>559</v>
      </c>
      <c r="D83" s="9" t="s">
        <v>340</v>
      </c>
      <c r="E83" s="9" t="s">
        <v>484</v>
      </c>
      <c r="F83" s="9"/>
      <c r="G83" s="9"/>
    </row>
    <row r="84" spans="1:12" x14ac:dyDescent="0.3">
      <c r="A84" s="9">
        <v>4.7</v>
      </c>
      <c r="B84" s="9" t="s">
        <v>344</v>
      </c>
      <c r="C84" s="9" t="s">
        <v>560</v>
      </c>
      <c r="D84" s="9" t="s">
        <v>343</v>
      </c>
      <c r="E84" s="9" t="s">
        <v>484</v>
      </c>
      <c r="F84" s="9"/>
      <c r="G84" s="9"/>
    </row>
    <row r="85" spans="1:12" x14ac:dyDescent="0.3">
      <c r="A85" s="9">
        <v>4.8</v>
      </c>
      <c r="B85" s="9" t="s">
        <v>301</v>
      </c>
      <c r="C85" s="9" t="s">
        <v>561</v>
      </c>
      <c r="D85" s="9" t="s">
        <v>347</v>
      </c>
      <c r="E85" s="9" t="s">
        <v>484</v>
      </c>
      <c r="F85" s="9"/>
      <c r="G85" s="9"/>
    </row>
    <row r="87" spans="1:12" ht="18" x14ac:dyDescent="0.35">
      <c r="A87" s="77" t="s">
        <v>562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</row>
    <row r="89" spans="1:12" x14ac:dyDescent="0.3">
      <c r="A89" s="8" t="s">
        <v>460</v>
      </c>
      <c r="B89" s="8" t="s">
        <v>450</v>
      </c>
      <c r="C89" s="8" t="s">
        <v>4</v>
      </c>
      <c r="D89" s="8" t="s">
        <v>451</v>
      </c>
      <c r="E89" s="8" t="s">
        <v>563</v>
      </c>
      <c r="F89" s="8" t="s">
        <v>7</v>
      </c>
      <c r="G89" s="8" t="s">
        <v>541</v>
      </c>
    </row>
    <row r="90" spans="1:12" x14ac:dyDescent="0.3">
      <c r="A90" s="9">
        <v>5.0999999999999996</v>
      </c>
      <c r="B90" s="9" t="s">
        <v>302</v>
      </c>
      <c r="C90" s="9" t="s">
        <v>564</v>
      </c>
      <c r="D90" s="32">
        <v>1</v>
      </c>
      <c r="E90" s="9"/>
      <c r="F90" s="9" t="s">
        <v>484</v>
      </c>
      <c r="G90" s="9"/>
    </row>
    <row r="91" spans="1:12" x14ac:dyDescent="0.3">
      <c r="A91" s="9">
        <v>5.2</v>
      </c>
      <c r="B91" s="9" t="s">
        <v>302</v>
      </c>
      <c r="C91" s="9" t="s">
        <v>565</v>
      </c>
      <c r="D91" s="32">
        <v>1</v>
      </c>
      <c r="E91" s="9"/>
      <c r="F91" s="9" t="s">
        <v>484</v>
      </c>
      <c r="G91" s="9"/>
    </row>
    <row r="92" spans="1:12" x14ac:dyDescent="0.3">
      <c r="A92" s="9">
        <v>5.3</v>
      </c>
      <c r="B92" s="9" t="s">
        <v>302</v>
      </c>
      <c r="C92" s="9" t="s">
        <v>566</v>
      </c>
      <c r="D92" s="32">
        <v>1</v>
      </c>
      <c r="E92" s="9"/>
      <c r="F92" s="9" t="s">
        <v>484</v>
      </c>
      <c r="G92" s="9"/>
    </row>
    <row r="93" spans="1:12" x14ac:dyDescent="0.3">
      <c r="A93" s="9">
        <v>5.4</v>
      </c>
      <c r="B93" s="9" t="s">
        <v>302</v>
      </c>
      <c r="C93" s="9" t="s">
        <v>567</v>
      </c>
      <c r="D93" s="32">
        <v>1</v>
      </c>
      <c r="E93" s="9"/>
      <c r="F93" s="9" t="s">
        <v>484</v>
      </c>
      <c r="G93" s="9"/>
    </row>
    <row r="94" spans="1:12" x14ac:dyDescent="0.3">
      <c r="A94" s="9">
        <v>5.5</v>
      </c>
      <c r="B94" s="9" t="s">
        <v>302</v>
      </c>
      <c r="C94" s="9" t="s">
        <v>568</v>
      </c>
      <c r="D94" s="32">
        <v>1</v>
      </c>
      <c r="E94" s="9"/>
      <c r="F94" s="9" t="s">
        <v>484</v>
      </c>
      <c r="G94" s="9"/>
    </row>
    <row r="95" spans="1:12" x14ac:dyDescent="0.3">
      <c r="A95" s="9">
        <v>5.6</v>
      </c>
      <c r="B95" s="9" t="s">
        <v>318</v>
      </c>
      <c r="C95" s="9" t="s">
        <v>569</v>
      </c>
      <c r="D95" s="9" t="s">
        <v>454</v>
      </c>
      <c r="E95" s="9"/>
      <c r="F95" s="9" t="s">
        <v>484</v>
      </c>
      <c r="G95" s="9"/>
    </row>
    <row r="96" spans="1:12" x14ac:dyDescent="0.3">
      <c r="A96" s="9">
        <v>5.7</v>
      </c>
      <c r="B96" s="9" t="s">
        <v>318</v>
      </c>
      <c r="C96" s="9" t="s">
        <v>570</v>
      </c>
      <c r="D96" s="9" t="s">
        <v>455</v>
      </c>
      <c r="E96" s="9"/>
      <c r="F96" s="9" t="s">
        <v>484</v>
      </c>
      <c r="G96" s="9"/>
    </row>
    <row r="97" spans="1:12" x14ac:dyDescent="0.3">
      <c r="A97" s="9">
        <v>5.8</v>
      </c>
      <c r="B97" s="9" t="s">
        <v>318</v>
      </c>
      <c r="C97" s="9" t="s">
        <v>571</v>
      </c>
      <c r="D97" s="32">
        <v>1</v>
      </c>
      <c r="E97" s="9"/>
      <c r="F97" s="9" t="s">
        <v>484</v>
      </c>
      <c r="G97" s="9"/>
    </row>
    <row r="98" spans="1:12" x14ac:dyDescent="0.3">
      <c r="A98" s="9">
        <v>5.9</v>
      </c>
      <c r="B98" s="9" t="s">
        <v>572</v>
      </c>
      <c r="C98" s="9" t="s">
        <v>573</v>
      </c>
      <c r="D98" s="32">
        <v>1</v>
      </c>
      <c r="E98" s="9"/>
      <c r="F98" s="9" t="s">
        <v>484</v>
      </c>
      <c r="G98" s="9"/>
    </row>
    <row r="100" spans="1:12" ht="18" x14ac:dyDescent="0.35">
      <c r="A100" s="77" t="s">
        <v>574</v>
      </c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</row>
    <row r="102" spans="1:12" x14ac:dyDescent="0.3">
      <c r="A102" s="8" t="s">
        <v>460</v>
      </c>
      <c r="B102" s="8" t="s">
        <v>575</v>
      </c>
      <c r="C102" s="8" t="s">
        <v>576</v>
      </c>
      <c r="D102" s="8" t="s">
        <v>7</v>
      </c>
      <c r="E102" s="8" t="s">
        <v>463</v>
      </c>
      <c r="F102" s="8" t="s">
        <v>577</v>
      </c>
      <c r="G102" s="8" t="s">
        <v>541</v>
      </c>
    </row>
    <row r="103" spans="1:12" x14ac:dyDescent="0.3">
      <c r="A103" s="9">
        <v>6.1</v>
      </c>
      <c r="B103" s="9" t="s">
        <v>578</v>
      </c>
      <c r="C103" s="9" t="s">
        <v>579</v>
      </c>
      <c r="D103" s="9" t="s">
        <v>484</v>
      </c>
      <c r="E103" s="9"/>
      <c r="F103" s="9"/>
      <c r="G103" s="9"/>
    </row>
    <row r="104" spans="1:12" x14ac:dyDescent="0.3">
      <c r="A104" s="9">
        <v>6.2</v>
      </c>
      <c r="B104" s="9" t="s">
        <v>580</v>
      </c>
      <c r="C104" s="9" t="s">
        <v>581</v>
      </c>
      <c r="D104" s="9" t="s">
        <v>484</v>
      </c>
      <c r="E104" s="9"/>
      <c r="F104" s="9"/>
      <c r="G104" s="9"/>
    </row>
    <row r="105" spans="1:12" x14ac:dyDescent="0.3">
      <c r="A105" s="9">
        <v>6.3</v>
      </c>
      <c r="B105" s="9" t="s">
        <v>582</v>
      </c>
      <c r="C105" s="9" t="s">
        <v>583</v>
      </c>
      <c r="D105" s="9" t="s">
        <v>484</v>
      </c>
      <c r="E105" s="9"/>
      <c r="F105" s="9"/>
      <c r="G105" s="9"/>
    </row>
    <row r="106" spans="1:12" x14ac:dyDescent="0.3">
      <c r="A106" s="9">
        <v>6.4</v>
      </c>
      <c r="B106" s="9" t="s">
        <v>584</v>
      </c>
      <c r="C106" s="9" t="s">
        <v>585</v>
      </c>
      <c r="D106" s="9" t="s">
        <v>484</v>
      </c>
      <c r="E106" s="9"/>
      <c r="F106" s="9"/>
      <c r="G106" s="9"/>
    </row>
    <row r="107" spans="1:12" x14ac:dyDescent="0.3">
      <c r="A107" s="9">
        <v>6.5</v>
      </c>
      <c r="B107" s="9" t="s">
        <v>6</v>
      </c>
      <c r="C107" s="9" t="s">
        <v>586</v>
      </c>
      <c r="D107" s="9" t="s">
        <v>484</v>
      </c>
      <c r="E107" s="9"/>
      <c r="F107" s="9"/>
      <c r="G107" s="9"/>
    </row>
    <row r="108" spans="1:12" x14ac:dyDescent="0.3">
      <c r="A108" s="9">
        <v>6.6</v>
      </c>
      <c r="B108" s="9" t="s">
        <v>6</v>
      </c>
      <c r="C108" s="9" t="s">
        <v>587</v>
      </c>
      <c r="D108" s="9" t="s">
        <v>484</v>
      </c>
      <c r="E108" s="9"/>
      <c r="F108" s="9"/>
      <c r="G108" s="9"/>
    </row>
    <row r="109" spans="1:12" x14ac:dyDescent="0.3">
      <c r="A109" s="9">
        <v>6.7</v>
      </c>
      <c r="B109" s="9" t="s">
        <v>588</v>
      </c>
      <c r="C109" s="9" t="s">
        <v>589</v>
      </c>
      <c r="D109" s="9" t="s">
        <v>484</v>
      </c>
      <c r="E109" s="9"/>
      <c r="F109" s="9"/>
      <c r="G109" s="9"/>
    </row>
    <row r="110" spans="1:12" x14ac:dyDescent="0.3">
      <c r="A110" s="9">
        <v>6.8</v>
      </c>
      <c r="B110" s="9" t="s">
        <v>590</v>
      </c>
      <c r="C110" s="9" t="s">
        <v>591</v>
      </c>
      <c r="D110" s="9" t="s">
        <v>484</v>
      </c>
      <c r="E110" s="9"/>
      <c r="F110" s="9"/>
      <c r="G110" s="9"/>
    </row>
    <row r="111" spans="1:12" x14ac:dyDescent="0.3">
      <c r="A111" s="9">
        <v>6.9</v>
      </c>
      <c r="B111" s="9" t="s">
        <v>592</v>
      </c>
      <c r="C111" s="9" t="s">
        <v>593</v>
      </c>
      <c r="D111" s="9" t="s">
        <v>484</v>
      </c>
      <c r="E111" s="9"/>
      <c r="F111" s="9"/>
      <c r="G111" s="9"/>
    </row>
    <row r="112" spans="1:12" x14ac:dyDescent="0.3">
      <c r="A112" s="9">
        <v>6.1</v>
      </c>
      <c r="B112" s="9" t="s">
        <v>594</v>
      </c>
      <c r="C112" s="9" t="s">
        <v>595</v>
      </c>
      <c r="D112" s="9" t="s">
        <v>484</v>
      </c>
      <c r="E112" s="9"/>
      <c r="F112" s="9"/>
      <c r="G112" s="9"/>
    </row>
    <row r="114" spans="1:7" ht="18" x14ac:dyDescent="0.35">
      <c r="A114" s="77" t="s">
        <v>596</v>
      </c>
      <c r="B114" s="78"/>
      <c r="C114" s="78"/>
      <c r="D114" s="78"/>
      <c r="E114" s="78"/>
      <c r="F114" s="78"/>
      <c r="G114" s="78"/>
    </row>
    <row r="116" spans="1:7" x14ac:dyDescent="0.3">
      <c r="A116" s="8" t="s">
        <v>359</v>
      </c>
      <c r="B116" s="8" t="s">
        <v>360</v>
      </c>
      <c r="C116" s="8" t="s">
        <v>597</v>
      </c>
    </row>
    <row r="117" spans="1:7" x14ac:dyDescent="0.3">
      <c r="A117" s="9" t="s">
        <v>598</v>
      </c>
      <c r="B117" s="9">
        <v>77</v>
      </c>
      <c r="C117" s="9" t="s">
        <v>599</v>
      </c>
    </row>
    <row r="118" spans="1:7" x14ac:dyDescent="0.3">
      <c r="A118" s="9" t="s">
        <v>600</v>
      </c>
      <c r="B118" s="9">
        <v>10</v>
      </c>
      <c r="C118" s="9" t="s">
        <v>601</v>
      </c>
    </row>
    <row r="119" spans="1:7" x14ac:dyDescent="0.3">
      <c r="A119" s="9" t="s">
        <v>602</v>
      </c>
      <c r="B119" s="9">
        <v>34</v>
      </c>
      <c r="C119" s="9" t="s">
        <v>603</v>
      </c>
    </row>
    <row r="120" spans="1:7" x14ac:dyDescent="0.3">
      <c r="A120" s="9" t="s">
        <v>604</v>
      </c>
      <c r="B120" s="9">
        <v>15</v>
      </c>
      <c r="C120" s="9" t="s">
        <v>605</v>
      </c>
    </row>
    <row r="121" spans="1:7" x14ac:dyDescent="0.3">
      <c r="A121" s="9" t="s">
        <v>606</v>
      </c>
      <c r="B121" s="9">
        <v>8</v>
      </c>
      <c r="C121" s="9" t="s">
        <v>607</v>
      </c>
    </row>
    <row r="122" spans="1:7" x14ac:dyDescent="0.3">
      <c r="A122" s="9" t="s">
        <v>608</v>
      </c>
      <c r="B122" s="9">
        <v>9</v>
      </c>
      <c r="C122" s="9" t="s">
        <v>609</v>
      </c>
    </row>
    <row r="123" spans="1:7" x14ac:dyDescent="0.3">
      <c r="A123" s="9" t="s">
        <v>610</v>
      </c>
      <c r="B123" s="9">
        <v>10</v>
      </c>
      <c r="C123" s="9" t="s">
        <v>611</v>
      </c>
    </row>
    <row r="125" spans="1:7" x14ac:dyDescent="0.3">
      <c r="A125" s="79" t="s">
        <v>612</v>
      </c>
      <c r="B125" s="78"/>
      <c r="C125" s="78"/>
    </row>
  </sheetData>
  <mergeCells count="10">
    <mergeCell ref="A87:L87"/>
    <mergeCell ref="A100:L100"/>
    <mergeCell ref="A114:G114"/>
    <mergeCell ref="A125:C125"/>
    <mergeCell ref="A1:L1"/>
    <mergeCell ref="A2:L2"/>
    <mergeCell ref="A4:L4"/>
    <mergeCell ref="A18:L18"/>
    <mergeCell ref="A56:L56"/>
    <mergeCell ref="A75:L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AHB_TestPlan_Doc</vt:lpstr>
      <vt:lpstr>AHB_VPlan</vt:lpstr>
      <vt:lpstr>AHB_Checklist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Dung Nguyen</cp:lastModifiedBy>
  <dcterms:created xsi:type="dcterms:W3CDTF">2026-05-19T02:57:27Z</dcterms:created>
  <dcterms:modified xsi:type="dcterms:W3CDTF">2026-05-27T15:38:29Z</dcterms:modified>
</cp:coreProperties>
</file>